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Råtjärnberget</t>
        </is>
      </c>
      <c r="B2" t="inlineStr">
        <is>
          <t>avverkningsanmälan</t>
        </is>
      </c>
      <c r="D2" s="1" t="n">
        <v>46218</v>
      </c>
      <c r="E2" s="1" t="n">
        <v>46218</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HYPERLINK("https://klasma.github.io/Logging_FORSKNINGSRESAN_2025_BJURHOLM/knärot/Råtjärnberget karta knärot.png", "Råtjärnberget")</f>
        <v/>
      </c>
      <c r="Y2">
        <f>HYPERLINK("https://klasma.github.io/Logging_FORSKNINGSRESAN_2025_BJURHOLM/klagomål/Råtjärnberget FSC-klagomål.docx", "Råtjärnberget")</f>
        <v/>
      </c>
      <c r="Z2">
        <f>HYPERLINK("https://klasma.github.io/Logging_FORSKNINGSRESAN_2025_BJURHOLM/klagomålsmail/Råtjärnberget FSC-klagomål mail.docx", "Råtjärnberget")</f>
        <v/>
      </c>
      <c r="AA2">
        <f>HYPERLINK("https://klasma.github.io/Logging_FORSKNINGSRESAN_2025_BJURHOLM/tillsyn/Råtjärnberget tillsynsbegäran.docx", "Råtjärnberget")</f>
        <v/>
      </c>
      <c r="AB2">
        <f>HYPERLINK("https://klasma.github.io/Logging_FORSKNINGSRESAN_2025_BJURHOLM/tillsynsmail/Råtjärnberget tillsynsbegäran mail.docx", "Råtjärnberget")</f>
        <v/>
      </c>
      <c r="AC2">
        <f>HYPERLINK("https://klasma.github.io/Logging_FORSKNINGSRESAN_2025_BJURHOLM/fåglar/Råtjärnberget prioriterade fågelarter.docx", "Råtjärnberget")</f>
        <v/>
      </c>
    </row>
    <row r="3" ht="15" customHeight="1">
      <c r="A3" t="inlineStr">
        <is>
          <t>Kravattensliden</t>
        </is>
      </c>
      <c r="B3" t="inlineStr">
        <is>
          <t>avverkningsanmälan</t>
        </is>
      </c>
      <c r="D3" s="1" t="n">
        <v>46218</v>
      </c>
      <c r="E3" s="1" t="n">
        <v>46218</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HYPERLINK("https://klasma.github.io/Logging_FORSKNINGSRESAN_2025_BJURHOLM/knärot/Kravattensliden karta knärot.png", "Kravattensliden")</f>
        <v/>
      </c>
      <c r="Y3">
        <f>HYPERLINK("https://klasma.github.io/Logging_FORSKNINGSRESAN_2025_BJURHOLM/klagomål/Kravattensliden FSC-klagomål.docx", "Kravattensliden")</f>
        <v/>
      </c>
      <c r="Z3">
        <f>HYPERLINK("https://klasma.github.io/Logging_FORSKNINGSRESAN_2025_BJURHOLM/klagomålsmail/Kravattensliden FSC-klagomål mail.docx", "Kravattensliden")</f>
        <v/>
      </c>
      <c r="AA3">
        <f>HYPERLINK("https://klasma.github.io/Logging_FORSKNINGSRESAN_2025_BJURHOLM/tillsyn/Kravattensliden tillsynsbegäran.docx", "Kravattensliden")</f>
        <v/>
      </c>
      <c r="AB3">
        <f>HYPERLINK("https://klasma.github.io/Logging_FORSKNINGSRESAN_2025_BJURHOLM/tillsynsmail/Kravattensliden tillsynsbegäran mail.docx", "Kravattensliden")</f>
        <v/>
      </c>
      <c r="AC3">
        <f>HYPERLINK("https://klasma.github.io/Logging_FORSKNINGSRESAN_2025_BJURHOLM/fåglar/Kravattensliden prioriterade fågelarter.docx", "Kravattensliden")</f>
        <v/>
      </c>
    </row>
    <row r="4" ht="15" customHeight="1">
      <c r="A4" t="inlineStr">
        <is>
          <t>Röjdtjärnliden</t>
        </is>
      </c>
      <c r="B4" t="inlineStr">
        <is>
          <t>avverkningsanmälan</t>
        </is>
      </c>
      <c r="D4" s="1" t="n">
        <v>46218</v>
      </c>
      <c r="E4" s="1" t="n">
        <v>46218</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HYPERLINK("https://klasma.github.io/Logging_FORSKNINGSRESAN_2025_BJURHOLM/knärot/Röjdtjärnliden karta knärot.png", "Röjdtjärnliden")</f>
        <v/>
      </c>
      <c r="Y4">
        <f>HYPERLINK("https://klasma.github.io/Logging_FORSKNINGSRESAN_2025_BJURHOLM/klagomål/Röjdtjärnliden FSC-klagomål.docx", "Röjdtjärnliden")</f>
        <v/>
      </c>
      <c r="Z4">
        <f>HYPERLINK("https://klasma.github.io/Logging_FORSKNINGSRESAN_2025_BJURHOLM/klagomålsmail/Röjdtjärnliden FSC-klagomål mail.docx", "Röjdtjärnliden")</f>
        <v/>
      </c>
      <c r="AA4">
        <f>HYPERLINK("https://klasma.github.io/Logging_FORSKNINGSRESAN_2025_BJURHOLM/tillsyn/Röjdtjärnliden tillsynsbegäran.docx", "Röjdtjärnliden")</f>
        <v/>
      </c>
      <c r="AB4">
        <f>HYPERLINK("https://klasma.github.io/Logging_FORSKNINGSRESAN_2025_BJURHOLM/tillsynsmail/Röjdtjärnliden tillsynsbegäran mail.docx", "Röjdtjärnliden")</f>
        <v/>
      </c>
      <c r="AC4">
        <f>HYPERLINK("https://klasma.github.io/Logging_FORSKNINGSRESAN_2025_BJURHOLM/fåglar/Röjdtjärnliden prioriterade fågelarter.docx", "Röjdtjärnliden")</f>
        <v/>
      </c>
    </row>
    <row r="5" ht="15" customHeight="1">
      <c r="A5" t="inlineStr">
        <is>
          <t>Lillgoberget</t>
        </is>
      </c>
      <c r="B5" t="inlineStr">
        <is>
          <t>avverkningsanmälan</t>
        </is>
      </c>
      <c r="D5" s="1" t="n">
        <v>46218</v>
      </c>
      <c r="E5" s="1" t="n">
        <v>46218</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HYPERLINK("https://klasma.github.io/Logging_FORSKNINGSRESAN_2025_BJURHOLM/knärot/Lillgoberget karta knärot.png", "Lillgoberget")</f>
        <v/>
      </c>
      <c r="Y5">
        <f>HYPERLINK("https://klasma.github.io/Logging_FORSKNINGSRESAN_2025_BJURHOLM/klagomål/Lillgoberget FSC-klagomål.docx", "Lillgoberget")</f>
        <v/>
      </c>
      <c r="Z5">
        <f>HYPERLINK("https://klasma.github.io/Logging_FORSKNINGSRESAN_2025_BJURHOLM/klagomålsmail/Lillgoberget FSC-klagomål mail.docx", "Lillgoberget")</f>
        <v/>
      </c>
      <c r="AA5">
        <f>HYPERLINK("https://klasma.github.io/Logging_FORSKNINGSRESAN_2025_BJURHOLM/tillsyn/Lillgoberget tillsynsbegäran.docx", "Lillgoberget")</f>
        <v/>
      </c>
      <c r="AB5">
        <f>HYPERLINK("https://klasma.github.io/Logging_FORSKNINGSRESAN_2025_BJURHOLM/tillsynsmail/Lillgoberget tillsynsbegäran mail.docx", "Lillgoberget")</f>
        <v/>
      </c>
      <c r="AC5">
        <f>HYPERLINK("https://klasma.github.io/Logging_FORSKNINGSRESAN_2025_BJURHOLM/fåglar/Lillgoberget prioriterade fågelarter.docx", "Lillgoberget")</f>
        <v/>
      </c>
    </row>
    <row r="6" ht="15" customHeight="1">
      <c r="A6" t="inlineStr">
        <is>
          <t>Baksjökullen</t>
        </is>
      </c>
      <c r="B6" t="inlineStr">
        <is>
          <t>avverkningsanmälan</t>
        </is>
      </c>
      <c r="D6" s="1" t="n">
        <v>46218</v>
      </c>
      <c r="E6" s="1" t="n">
        <v>46218</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HYPERLINK("https://klasma.github.io/Logging_FORSKNINGSRESAN_2025_BJURHOLM/knärot/Baksjökullen karta knärot.png", "Baksjökullen")</f>
        <v/>
      </c>
      <c r="Y6">
        <f>HYPERLINK("https://klasma.github.io/Logging_FORSKNINGSRESAN_2025_BJURHOLM/klagomål/Baksjökullen FSC-klagomål.docx", "Baksjökullen")</f>
        <v/>
      </c>
      <c r="Z6">
        <f>HYPERLINK("https://klasma.github.io/Logging_FORSKNINGSRESAN_2025_BJURHOLM/klagomålsmail/Baksjökullen FSC-klagomål mail.docx", "Baksjökullen")</f>
        <v/>
      </c>
      <c r="AA6">
        <f>HYPERLINK("https://klasma.github.io/Logging_FORSKNINGSRESAN_2025_BJURHOLM/tillsyn/Baksjökullen tillsynsbegäran.docx", "Baksjökullen")</f>
        <v/>
      </c>
      <c r="AB6">
        <f>HYPERLINK("https://klasma.github.io/Logging_FORSKNINGSRESAN_2025_BJURHOLM/tillsynsmail/Baksjökullen tillsynsbegäran mail.docx", "Baksjökullen")</f>
        <v/>
      </c>
      <c r="AC6">
        <f>HYPERLINK("https://klasma.github.io/Logging_FORSKNINGSRESAN_2025_BJURHOLM/fåglar/Baksjökullen prioriterade fågelarter.docx", "Baksjökullen")</f>
        <v/>
      </c>
    </row>
    <row r="7" ht="15" customHeight="1">
      <c r="A7" t="inlineStr">
        <is>
          <t>Fulberget</t>
        </is>
      </c>
      <c r="B7" t="inlineStr">
        <is>
          <t>avverkningsanmälan</t>
        </is>
      </c>
      <c r="D7" s="1" t="n">
        <v>46218</v>
      </c>
      <c r="E7" s="1" t="n">
        <v>46218</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HYPERLINK("https://klasma.github.io/Logging_FORSKNINGSRESAN_2025_BJURHOLM/knärot/Fulberget karta knärot.png", "Fulberget")</f>
        <v/>
      </c>
      <c r="Y7">
        <f>HYPERLINK("https://klasma.github.io/Logging_FORSKNINGSRESAN_2025_BJURHOLM/klagomål/Fulberget FSC-klagomål.docx", "Fulberget")</f>
        <v/>
      </c>
      <c r="Z7">
        <f>HYPERLINK("https://klasma.github.io/Logging_FORSKNINGSRESAN_2025_BJURHOLM/klagomålsmail/Fulberget FSC-klagomål mail.docx", "Fulberget")</f>
        <v/>
      </c>
      <c r="AA7">
        <f>HYPERLINK("https://klasma.github.io/Logging_FORSKNINGSRESAN_2025_BJURHOLM/tillsyn/Fulberget tillsynsbegäran.docx", "Fulberget")</f>
        <v/>
      </c>
      <c r="AB7">
        <f>HYPERLINK("https://klasma.github.io/Logging_FORSKNINGSRESAN_2025_BJURHOLM/tillsynsmail/Fulberget tillsynsbegäran mail.docx", "Fulberget")</f>
        <v/>
      </c>
      <c r="AC7">
        <f>HYPERLINK("https://klasma.github.io/Logging_FORSKNINGSRESAN_2025_BJURHOLM/fåglar/Fulberget prioriterade fågelarter.docx", "Fulberget")</f>
        <v/>
      </c>
    </row>
    <row r="8" ht="15" customHeight="1">
      <c r="A8" t="inlineStr">
        <is>
          <t>Arnträskbergen</t>
        </is>
      </c>
      <c r="B8" t="inlineStr">
        <is>
          <t>avverkningsanmälan</t>
        </is>
      </c>
      <c r="D8" s="1" t="n">
        <v>46218</v>
      </c>
      <c r="E8" s="1" t="n">
        <v>46218</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Y8">
        <f>HYPERLINK("https://klasma.github.io/Logging_FORSKNINGSRESAN_2025_BJURHOLM/klagomål/Arnträskbergen FSC-klagomål.docx", "Arnträskbergen")</f>
        <v/>
      </c>
      <c r="Z8">
        <f>HYPERLINK("https://klasma.github.io/Logging_FORSKNINGSRESAN_2025_BJURHOLM/klagomålsmail/Arnträskbergen FSC-klagomål mail.docx", "Arnträskbergen")</f>
        <v/>
      </c>
      <c r="AA8">
        <f>HYPERLINK("https://klasma.github.io/Logging_FORSKNINGSRESAN_2025_BJURHOLM/tillsyn/Arnträskbergen tillsynsbegäran.docx", "Arnträskbergen")</f>
        <v/>
      </c>
      <c r="AB8">
        <f>HYPERLINK("https://klasma.github.io/Logging_FORSKNINGSRESAN_2025_BJURHOLM/tillsynsmail/Arnträskbergen tillsynsbegäran mail.docx", "Arnträskbergen")</f>
        <v/>
      </c>
      <c r="AC8">
        <f>HYPERLINK("https://klasma.github.io/Logging_FORSKNINGSRESAN_2025_BJURHOLM/fåglar/Arnträskbergen prioriterade fågelarter.docx", "Arnträskbergen")</f>
        <v/>
      </c>
    </row>
    <row r="9" ht="15" customHeight="1">
      <c r="A9" t="inlineStr">
        <is>
          <t>Sundsjölandet</t>
        </is>
      </c>
      <c r="B9" t="inlineStr">
        <is>
          <t>avverkningsanmälan</t>
        </is>
      </c>
      <c r="D9" s="1" t="n">
        <v>46218</v>
      </c>
      <c r="E9" s="1" t="n">
        <v>46218</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Y9">
        <f>HYPERLINK("https://klasma.github.io/Logging_FORSKNINGSRESAN_2025_BJURHOLM/klagomål/Sundsjölandet FSC-klagomål.docx", "Sundsjölandet")</f>
        <v/>
      </c>
      <c r="Z9">
        <f>HYPERLINK("https://klasma.github.io/Logging_FORSKNINGSRESAN_2025_BJURHOLM/klagomålsmail/Sundsjölandet FSC-klagomål mail.docx", "Sundsjölandet")</f>
        <v/>
      </c>
      <c r="AA9">
        <f>HYPERLINK("https://klasma.github.io/Logging_FORSKNINGSRESAN_2025_BJURHOLM/tillsyn/Sundsjölandet tillsynsbegäran.docx", "Sundsjölandet")</f>
        <v/>
      </c>
      <c r="AB9">
        <f>HYPERLINK("https://klasma.github.io/Logging_FORSKNINGSRESAN_2025_BJURHOLM/tillsynsmail/Sundsjölandet tillsynsbegäran mail.docx", "Sundsjölandet")</f>
        <v/>
      </c>
      <c r="AC9">
        <f>HYPERLINK("https://klasma.github.io/Logging_FORSKNINGSRESAN_2025_BJURHOLM/fåglar/Sundsjölandet prioriterade fågelarter.docx", "Sundsjölandet")</f>
        <v/>
      </c>
    </row>
    <row r="10" ht="15" customHeight="1">
      <c r="A10" t="inlineStr">
        <is>
          <t>Rislidtjärnarna</t>
        </is>
      </c>
      <c r="B10" t="inlineStr">
        <is>
          <t>avverkningsanmälan</t>
        </is>
      </c>
      <c r="D10" s="1" t="n">
        <v>46218</v>
      </c>
      <c r="E10" s="1" t="n">
        <v>46218</v>
      </c>
      <c r="F10" t="inlineStr"/>
      <c r="G10" t="inlineStr">
        <is>
          <t>Bjurholm</t>
        </is>
      </c>
      <c r="H10" t="inlineStr">
        <is>
          <t>Holmen skog AB</t>
        </is>
      </c>
      <c r="I10" t="n">
        <v>121.7</v>
      </c>
      <c r="J10" t="n">
        <v>11</v>
      </c>
      <c r="K10" t="n">
        <v>11</v>
      </c>
      <c r="L10" t="n">
        <v>20</v>
      </c>
      <c r="M10" t="n">
        <v>4</v>
      </c>
      <c r="N10" t="n">
        <v>0</v>
      </c>
      <c r="O10" t="n">
        <v>0</v>
      </c>
      <c r="P10" t="n">
        <v>0</v>
      </c>
      <c r="Q10" t="n">
        <v>24</v>
      </c>
      <c r="R10" t="n">
        <v>4</v>
      </c>
      <c r="S10" t="n">
        <v>40</v>
      </c>
      <c r="T10" t="n">
        <v>190</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Tofsmes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HYPERLINK("https://klasma.github.io/Logging_FORSKNINGSRESAN_2025_BJURHOLM/knärot/Rislidtjärnarna karta knärot.png", "Rislidtjärnarna")</f>
        <v/>
      </c>
      <c r="Y10">
        <f>HYPERLINK("https://klasma.github.io/Logging_FORSKNINGSRESAN_2025_BJURHOLM/klagomål/Rislidtjärnarna FSC-klagomål.docx", "Rislidtjärnarna")</f>
        <v/>
      </c>
      <c r="Z10">
        <f>HYPERLINK("https://klasma.github.io/Logging_FORSKNINGSRESAN_2025_BJURHOLM/klagomålsmail/Rislidtjärnarna FSC-klagomål mail.docx", "Rislidtjärnarna")</f>
        <v/>
      </c>
      <c r="AA10">
        <f>HYPERLINK("https://klasma.github.io/Logging_FORSKNINGSRESAN_2025_BJURHOLM/tillsyn/Rislidtjärnarna tillsynsbegäran.docx", "Rislidtjärnarna")</f>
        <v/>
      </c>
      <c r="AB10">
        <f>HYPERLINK("https://klasma.github.io/Logging_FORSKNINGSRESAN_2025_BJURHOLM/tillsynsmail/Rislidtjärnarna tillsynsbegäran mail.docx", "Rislidtjärnarna")</f>
        <v/>
      </c>
      <c r="AC10">
        <f>HYPERLINK("https://klasma.github.io/Logging_FORSKNINGSRESAN_2025_BJURHOLM/fåglar/Rislidtjärnarna prioriterade fågelarter.docx", "Rislidtjärnarna")</f>
        <v/>
      </c>
    </row>
    <row r="11" ht="15" customHeight="1">
      <c r="A11" t="inlineStr">
        <is>
          <t>Lill-Lögdåberget O</t>
        </is>
      </c>
      <c r="B11" t="inlineStr">
        <is>
          <t>avverkningsanmälan</t>
        </is>
      </c>
      <c r="D11" s="1" t="n">
        <v>46218</v>
      </c>
      <c r="E11" s="1" t="n">
        <v>46218</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HYPERLINK("https://klasma.github.io/Logging_FORSKNINGSRESAN_2025_BJURHOLM/knärot/Lill-Lögdåberget O karta knärot.png", "Lill-Lögdåberget O")</f>
        <v/>
      </c>
      <c r="Y11">
        <f>HYPERLINK("https://klasma.github.io/Logging_FORSKNINGSRESAN_2025_BJURHOLM/klagomål/Lill-Lögdåberget O FSC-klagomål.docx", "Lill-Lögdåberget O")</f>
        <v/>
      </c>
      <c r="Z11">
        <f>HYPERLINK("https://klasma.github.io/Logging_FORSKNINGSRESAN_2025_BJURHOLM/klagomålsmail/Lill-Lögdåberget O FSC-klagomål mail.docx", "Lill-Lögdåberget O")</f>
        <v/>
      </c>
      <c r="AA11">
        <f>HYPERLINK("https://klasma.github.io/Logging_FORSKNINGSRESAN_2025_BJURHOLM/tillsyn/Lill-Lögdåberget O tillsynsbegäran.docx", "Lill-Lögdåberget O")</f>
        <v/>
      </c>
      <c r="AB11">
        <f>HYPERLINK("https://klasma.github.io/Logging_FORSKNINGSRESAN_2025_BJURHOLM/tillsynsmail/Lill-Lögdåberget O tillsynsbegäran mail.docx", "Lill-Lögdåberget O")</f>
        <v/>
      </c>
      <c r="AC11">
        <f>HYPERLINK("https://klasma.github.io/Logging_FORSKNINGSRESAN_2025_BJURHOLM/fåglar/Lill-Lögdåberget O prioriterade fågelarter.docx", "Lill-Lögdåberget O")</f>
        <v/>
      </c>
    </row>
    <row r="12" ht="15" customHeight="1">
      <c r="A12" t="inlineStr">
        <is>
          <t>Tällvattsåsen</t>
        </is>
      </c>
      <c r="B12" t="inlineStr">
        <is>
          <t>avverkningsanmälan</t>
        </is>
      </c>
      <c r="D12" s="1" t="n">
        <v>46218</v>
      </c>
      <c r="E12" s="1" t="n">
        <v>46218</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HYPERLINK("https://klasma.github.io/Logging_FORSKNINGSRESAN_2025_BJURHOLM/knärot/Tällvattsåsen karta knärot.png", "Tällvattsåsen")</f>
        <v/>
      </c>
      <c r="Y12">
        <f>HYPERLINK("https://klasma.github.io/Logging_FORSKNINGSRESAN_2025_BJURHOLM/klagomål/Tällvattsåsen FSC-klagomål.docx", "Tällvattsåsen")</f>
        <v/>
      </c>
      <c r="Z12">
        <f>HYPERLINK("https://klasma.github.io/Logging_FORSKNINGSRESAN_2025_BJURHOLM/klagomålsmail/Tällvattsåsen FSC-klagomål mail.docx", "Tällvattsåsen")</f>
        <v/>
      </c>
      <c r="AA12">
        <f>HYPERLINK("https://klasma.github.io/Logging_FORSKNINGSRESAN_2025_BJURHOLM/tillsyn/Tällvattsåsen tillsynsbegäran.docx", "Tällvattsåsen")</f>
        <v/>
      </c>
      <c r="AB12">
        <f>HYPERLINK("https://klasma.github.io/Logging_FORSKNINGSRESAN_2025_BJURHOLM/tillsynsmail/Tällvattsåsen tillsynsbegäran mail.docx", "Tällvattsåsen")</f>
        <v/>
      </c>
      <c r="AC12">
        <f>HYPERLINK("https://klasma.github.io/Logging_FORSKNINGSRESAN_2025_BJURHOLM/fåglar/Tällvattsåsen prioriterade fågelarter.docx", "Tällvattsåsen")</f>
        <v/>
      </c>
    </row>
    <row r="13" ht="15" customHeight="1">
      <c r="A13" t="inlineStr">
        <is>
          <t>Lappberget</t>
        </is>
      </c>
      <c r="B13" t="inlineStr">
        <is>
          <t>avverkningsanmälan</t>
        </is>
      </c>
      <c r="D13" s="1" t="n">
        <v>46218</v>
      </c>
      <c r="E13" s="1" t="n">
        <v>46218</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Y13">
        <f>HYPERLINK("https://klasma.github.io/Logging_FORSKNINGSRESAN_2025_BJURHOLM/klagomål/Lappberget FSC-klagomål.docx", "Lappberget")</f>
        <v/>
      </c>
      <c r="Z13">
        <f>HYPERLINK("https://klasma.github.io/Logging_FORSKNINGSRESAN_2025_BJURHOLM/klagomålsmail/Lappberget FSC-klagomål mail.docx", "Lappberget")</f>
        <v/>
      </c>
      <c r="AA13">
        <f>HYPERLINK("https://klasma.github.io/Logging_FORSKNINGSRESAN_2025_BJURHOLM/tillsyn/Lappberget tillsynsbegäran.docx", "Lappberget")</f>
        <v/>
      </c>
      <c r="AB13">
        <f>HYPERLINK("https://klasma.github.io/Logging_FORSKNINGSRESAN_2025_BJURHOLM/tillsynsmail/Lappberget tillsynsbegäran mail.docx", "Lappberget")</f>
        <v/>
      </c>
      <c r="AC13">
        <f>HYPERLINK("https://klasma.github.io/Logging_FORSKNINGSRESAN_2025_BJURHOLM/fåglar/Lappberget prioriterade fågelarter.docx", "Lappberget")</f>
        <v/>
      </c>
    </row>
    <row r="14" ht="15" customHeight="1">
      <c r="A14" t="inlineStr">
        <is>
          <t>Tyfallsjön</t>
        </is>
      </c>
      <c r="B14" t="inlineStr">
        <is>
          <t>avverkningsanmälan</t>
        </is>
      </c>
      <c r="D14" s="1" t="n">
        <v>46218</v>
      </c>
      <c r="E14" s="1" t="n">
        <v>46218</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HYPERLINK("https://klasma.github.io/Logging_FORSKNINGSRESAN_2025_BJURHOLM/knärot/Tyfallsjön karta knärot.png", "Tyfallsjön")</f>
        <v/>
      </c>
      <c r="Y14">
        <f>HYPERLINK("https://klasma.github.io/Logging_FORSKNINGSRESAN_2025_BJURHOLM/klagomål/Tyfallsjön FSC-klagomål.docx", "Tyfallsjön")</f>
        <v/>
      </c>
      <c r="Z14">
        <f>HYPERLINK("https://klasma.github.io/Logging_FORSKNINGSRESAN_2025_BJURHOLM/klagomålsmail/Tyfallsjön FSC-klagomål mail.docx", "Tyfallsjön")</f>
        <v/>
      </c>
      <c r="AA14">
        <f>HYPERLINK("https://klasma.github.io/Logging_FORSKNINGSRESAN_2025_BJURHOLM/tillsyn/Tyfallsjön tillsynsbegäran.docx", "Tyfallsjön")</f>
        <v/>
      </c>
      <c r="AB14">
        <f>HYPERLINK("https://klasma.github.io/Logging_FORSKNINGSRESAN_2025_BJURHOLM/tillsynsmail/Tyfallsjön tillsynsbegäran mail.docx", "Tyfallsjön")</f>
        <v/>
      </c>
    </row>
    <row r="15" ht="15" customHeight="1">
      <c r="A15" t="inlineStr">
        <is>
          <t>Oxliden</t>
        </is>
      </c>
      <c r="B15" t="inlineStr">
        <is>
          <t>avverkningsanmälan</t>
        </is>
      </c>
      <c r="D15" s="1" t="n">
        <v>46218</v>
      </c>
      <c r="E15" s="1" t="n">
        <v>46218</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Y15">
        <f>HYPERLINK("https://klasma.github.io/Logging_FORSKNINGSRESAN_2025_BJURHOLM/klagomål/Oxliden FSC-klagomål.docx", "Oxliden")</f>
        <v/>
      </c>
      <c r="Z15">
        <f>HYPERLINK("https://klasma.github.io/Logging_FORSKNINGSRESAN_2025_BJURHOLM/klagomålsmail/Oxliden FSC-klagomål mail.docx", "Oxliden")</f>
        <v/>
      </c>
      <c r="AA15">
        <f>HYPERLINK("https://klasma.github.io/Logging_FORSKNINGSRESAN_2025_BJURHOLM/tillsyn/Oxliden tillsynsbegäran.docx", "Oxliden")</f>
        <v/>
      </c>
      <c r="AB15">
        <f>HYPERLINK("https://klasma.github.io/Logging_FORSKNINGSRESAN_2025_BJURHOLM/tillsynsmail/Oxliden tillsynsbegäran mail.docx", "Oxliden")</f>
        <v/>
      </c>
      <c r="AC15">
        <f>HYPERLINK("https://klasma.github.io/Logging_FORSKNINGSRESAN_2025_BJURHOLM/fåglar/Oxliden prioriterade fågelarter.docx", "Oxliden")</f>
        <v/>
      </c>
    </row>
    <row r="16" ht="15" customHeight="1">
      <c r="A16" t="inlineStr">
        <is>
          <t>Gålgoberget</t>
        </is>
      </c>
      <c r="B16" t="inlineStr">
        <is>
          <t>avverkningsanmälan</t>
        </is>
      </c>
      <c r="D16" s="1" t="n">
        <v>46218</v>
      </c>
      <c r="E16" s="1" t="n">
        <v>46218</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HYPERLINK("https://klasma.github.io/Logging_FORSKNINGSRESAN_2025_BJURHOLM/knärot/Gålgoberget karta knärot.png", "Gålgoberget")</f>
        <v/>
      </c>
      <c r="Y16">
        <f>HYPERLINK("https://klasma.github.io/Logging_FORSKNINGSRESAN_2025_BJURHOLM/klagomål/Gålgoberget FSC-klagomål.docx", "Gålgoberget")</f>
        <v/>
      </c>
      <c r="Z16">
        <f>HYPERLINK("https://klasma.github.io/Logging_FORSKNINGSRESAN_2025_BJURHOLM/klagomålsmail/Gålgoberget FSC-klagomål mail.docx", "Gålgoberget")</f>
        <v/>
      </c>
      <c r="AA16">
        <f>HYPERLINK("https://klasma.github.io/Logging_FORSKNINGSRESAN_2025_BJURHOLM/tillsyn/Gålgoberget tillsynsbegäran.docx", "Gålgoberget")</f>
        <v/>
      </c>
      <c r="AB16">
        <f>HYPERLINK("https://klasma.github.io/Logging_FORSKNINGSRESAN_2025_BJURHOLM/tillsynsmail/Gålgoberget tillsynsbegäran mail.docx", "Gålgoberget")</f>
        <v/>
      </c>
      <c r="AC16">
        <f>HYPERLINK("https://klasma.github.io/Logging_FORSKNINGSRESAN_2025_BJURHOLM/fåglar/Gålgoberget prioriterade fågelarter.docx", "Gålgoberget")</f>
        <v/>
      </c>
    </row>
    <row r="17" ht="15" customHeight="1">
      <c r="A17" t="inlineStr">
        <is>
          <t>Orratjärnskullen</t>
        </is>
      </c>
      <c r="B17" t="inlineStr">
        <is>
          <t>avverkningsanmälan</t>
        </is>
      </c>
      <c r="D17" s="1" t="n">
        <v>46218</v>
      </c>
      <c r="E17" s="1" t="n">
        <v>46218</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HYPERLINK("https://klasma.github.io/Logging_FORSKNINGSRESAN_2025_BJURHOLM/knärot/Orratjärnskullen karta knärot.png", "Orratjärnskullen")</f>
        <v/>
      </c>
      <c r="Y17">
        <f>HYPERLINK("https://klasma.github.io/Logging_FORSKNINGSRESAN_2025_BJURHOLM/klagomål/Orratjärnskullen FSC-klagomål.docx", "Orratjärnskullen")</f>
        <v/>
      </c>
      <c r="Z17">
        <f>HYPERLINK("https://klasma.github.io/Logging_FORSKNINGSRESAN_2025_BJURHOLM/klagomålsmail/Orratjärnskullen FSC-klagomål mail.docx", "Orratjärnskullen")</f>
        <v/>
      </c>
      <c r="AA17">
        <f>HYPERLINK("https://klasma.github.io/Logging_FORSKNINGSRESAN_2025_BJURHOLM/tillsyn/Orratjärnskullen tillsynsbegäran.docx", "Orratjärnskullen")</f>
        <v/>
      </c>
      <c r="AB17">
        <f>HYPERLINK("https://klasma.github.io/Logging_FORSKNINGSRESAN_2025_BJURHOLM/tillsynsmail/Orratjärnskullen tillsynsbegäran mail.docx", "Orratjärnskullen")</f>
        <v/>
      </c>
      <c r="AC17">
        <f>HYPERLINK("https://klasma.github.io/Logging_FORSKNINGSRESAN_2025_BJURHOLM/fåglar/Orratjärnskullen prioriterade fågelarter.docx", "Orratjärnskullen")</f>
        <v/>
      </c>
    </row>
    <row r="18" ht="15" customHeight="1">
      <c r="A18" t="inlineStr">
        <is>
          <t>Hötjärnberget</t>
        </is>
      </c>
      <c r="B18" t="inlineStr">
        <is>
          <t>avverkningsanmälan</t>
        </is>
      </c>
      <c r="D18" s="1" t="n">
        <v>46218</v>
      </c>
      <c r="E18" s="1" t="n">
        <v>46218</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HYPERLINK("https://klasma.github.io/Logging_FORSKNINGSRESAN_2025_BJURHOLM/knärot/Hötjärnberget karta knärot.png", "Hötjärnberget")</f>
        <v/>
      </c>
      <c r="Y18">
        <f>HYPERLINK("https://klasma.github.io/Logging_FORSKNINGSRESAN_2025_BJURHOLM/klagomål/Hötjärnberget FSC-klagomål.docx", "Hötjärnberget")</f>
        <v/>
      </c>
      <c r="Z18">
        <f>HYPERLINK("https://klasma.github.io/Logging_FORSKNINGSRESAN_2025_BJURHOLM/klagomålsmail/Hötjärnberget FSC-klagomål mail.docx", "Hötjärnberget")</f>
        <v/>
      </c>
      <c r="AA18">
        <f>HYPERLINK("https://klasma.github.io/Logging_FORSKNINGSRESAN_2025_BJURHOLM/tillsyn/Hötjärnberget tillsynsbegäran.docx", "Hötjärnberget")</f>
        <v/>
      </c>
      <c r="AB18">
        <f>HYPERLINK("https://klasma.github.io/Logging_FORSKNINGSRESAN_2025_BJURHOLM/tillsynsmail/Hötjärnberget tillsynsbegäran mail.docx", "Hötjärnberget")</f>
        <v/>
      </c>
      <c r="AC18">
        <f>HYPERLINK("https://klasma.github.io/Logging_FORSKNINGSRESAN_2025_BJURHOLM/fåglar/Hötjärnberget prioriterade fågelarter.docx", "Hötjärnberget")</f>
        <v/>
      </c>
    </row>
    <row r="19" ht="15" customHeight="1">
      <c r="A19" t="inlineStr">
        <is>
          <t>Glesskallberget</t>
        </is>
      </c>
      <c r="B19" t="inlineStr">
        <is>
          <t>avverkningsanmälan</t>
        </is>
      </c>
      <c r="D19" s="1" t="n">
        <v>46218</v>
      </c>
      <c r="E19" s="1" t="n">
        <v>46218</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Y19">
        <f>HYPERLINK("https://klasma.github.io/Logging_FORSKNINGSRESAN_2025_BJURHOLM/klagomål/Glesskallberget FSC-klagomål.docx", "Glesskallberget")</f>
        <v/>
      </c>
      <c r="Z19">
        <f>HYPERLINK("https://klasma.github.io/Logging_FORSKNINGSRESAN_2025_BJURHOLM/klagomålsmail/Glesskallberget FSC-klagomål mail.docx", "Glesskallberget")</f>
        <v/>
      </c>
      <c r="AA19">
        <f>HYPERLINK("https://klasma.github.io/Logging_FORSKNINGSRESAN_2025_BJURHOLM/tillsyn/Glesskallberget tillsynsbegäran.docx", "Glesskallberget")</f>
        <v/>
      </c>
      <c r="AB19">
        <f>HYPERLINK("https://klasma.github.io/Logging_FORSKNINGSRESAN_2025_BJURHOLM/tillsynsmail/Glesskallberget tillsynsbegäran mail.docx", "Glesskallberget")</f>
        <v/>
      </c>
      <c r="AC19">
        <f>HYPERLINK("https://klasma.github.io/Logging_FORSKNINGSRESAN_2025_BJURHOLM/fåglar/Glesskallberget prioriterade fågelarter.docx", "Glesskallberget")</f>
        <v/>
      </c>
    </row>
    <row r="20" ht="15" customHeight="1">
      <c r="A20" t="inlineStr">
        <is>
          <t>Stormyrbäcken</t>
        </is>
      </c>
      <c r="B20" t="inlineStr">
        <is>
          <t>avverkningsanmälan</t>
        </is>
      </c>
      <c r="D20" s="1" t="n">
        <v>46218</v>
      </c>
      <c r="E20" s="1" t="n">
        <v>46218</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HYPERLINK("https://klasma.github.io/Logging_FORSKNINGSRESAN_2025_BJURHOLM/knärot/Stormyrbäcken karta knärot.png", "Stormyrbäcken")</f>
        <v/>
      </c>
      <c r="Y20">
        <f>HYPERLINK("https://klasma.github.io/Logging_FORSKNINGSRESAN_2025_BJURHOLM/klagomål/Stormyrbäcken FSC-klagomål.docx", "Stormyrbäcken")</f>
        <v/>
      </c>
      <c r="Z20">
        <f>HYPERLINK("https://klasma.github.io/Logging_FORSKNINGSRESAN_2025_BJURHOLM/klagomålsmail/Stormyrbäcken FSC-klagomål mail.docx", "Stormyrbäcken")</f>
        <v/>
      </c>
      <c r="AA20">
        <f>HYPERLINK("https://klasma.github.io/Logging_FORSKNINGSRESAN_2025_BJURHOLM/tillsyn/Stormyrbäcken tillsynsbegäran.docx", "Stormyrbäcken")</f>
        <v/>
      </c>
      <c r="AB20">
        <f>HYPERLINK("https://klasma.github.io/Logging_FORSKNINGSRESAN_2025_BJURHOLM/tillsynsmail/Stormyrbäcken tillsynsbegäran mail.docx", "Stormyrbäcken")</f>
        <v/>
      </c>
      <c r="AC20">
        <f>HYPERLINK("https://klasma.github.io/Logging_FORSKNINGSRESAN_2025_BJURHOLM/fåglar/Stormyrbäcken prioriterade fågelarter.docx", "Stormyrbäcken")</f>
        <v/>
      </c>
    </row>
    <row r="21" ht="15" customHeight="1">
      <c r="A21" t="inlineStr">
        <is>
          <t>Bastuberget</t>
        </is>
      </c>
      <c r="B21" t="inlineStr">
        <is>
          <t>avverkningsanmälan</t>
        </is>
      </c>
      <c r="D21" s="1" t="n">
        <v>46218</v>
      </c>
      <c r="E21" s="1" t="n">
        <v>46218</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HYPERLINK("https://klasma.github.io/Logging_FORSKNINGSRESAN_2025_BJURHOLM/knärot/Bastuberget karta knärot.png", "Bastuberget")</f>
        <v/>
      </c>
      <c r="Y21">
        <f>HYPERLINK("https://klasma.github.io/Logging_FORSKNINGSRESAN_2025_BJURHOLM/klagomål/Bastuberget FSC-klagomål.docx", "Bastuberget")</f>
        <v/>
      </c>
      <c r="Z21">
        <f>HYPERLINK("https://klasma.github.io/Logging_FORSKNINGSRESAN_2025_BJURHOLM/klagomålsmail/Bastuberget FSC-klagomål mail.docx", "Bastuberget")</f>
        <v/>
      </c>
      <c r="AA21">
        <f>HYPERLINK("https://klasma.github.io/Logging_FORSKNINGSRESAN_2025_BJURHOLM/tillsyn/Bastuberget tillsynsbegäran.docx", "Bastuberget")</f>
        <v/>
      </c>
      <c r="AB21">
        <f>HYPERLINK("https://klasma.github.io/Logging_FORSKNINGSRESAN_2025_BJURHOLM/tillsynsmail/Bastuberget tillsynsbegäran mail.docx", "Bastuberget")</f>
        <v/>
      </c>
      <c r="AC21">
        <f>HYPERLINK("https://klasma.github.io/Logging_FORSKNINGSRESAN_2025_BJURHOLM/fåglar/Bastuberget prioriterade fågelarter.docx", "Bastuberget")</f>
        <v/>
      </c>
    </row>
    <row r="22" ht="15" customHeight="1">
      <c r="A22" t="inlineStr">
        <is>
          <t>Lögdeälven käringberget</t>
        </is>
      </c>
      <c r="B22" t="inlineStr">
        <is>
          <t>avverkningsanmälan</t>
        </is>
      </c>
      <c r="D22" s="1" t="n">
        <v>46218</v>
      </c>
      <c r="E22" s="1" t="n">
        <v>46218</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Y22">
        <f>HYPERLINK("https://klasma.github.io/Logging_FORSKNINGSRESAN_2025_BJURHOLM/klagomål/Lögdeälven käringberget FSC-klagomål.docx", "Lögdeälven käringberget")</f>
        <v/>
      </c>
      <c r="Z22">
        <f>HYPERLINK("https://klasma.github.io/Logging_FORSKNINGSRESAN_2025_BJURHOLM/klagomålsmail/Lögdeälven käringberget FSC-klagomål mail.docx", "Lögdeälven käringberget")</f>
        <v/>
      </c>
      <c r="AA22">
        <f>HYPERLINK("https://klasma.github.io/Logging_FORSKNINGSRESAN_2025_BJURHOLM/tillsyn/Lögdeälven käringberget tillsynsbegäran.docx", "Lögdeälven käringberget")</f>
        <v/>
      </c>
      <c r="AB22">
        <f>HYPERLINK("https://klasma.github.io/Logging_FORSKNINGSRESAN_2025_BJURHOLM/tillsynsmail/Lögdeälven käringberget tillsynsbegäran mail.docx", "Lögdeälven käringberget")</f>
        <v/>
      </c>
      <c r="AC22">
        <f>HYPERLINK("https://klasma.github.io/Logging_FORSKNINGSRESAN_2025_BJURHOLM/fåglar/Lögdeälven käringberget prioriterade fågelarter.docx", "Lögdeälven käringberget")</f>
        <v/>
      </c>
    </row>
    <row r="23" ht="15" customHeight="1">
      <c r="A23" t="inlineStr">
        <is>
          <t>Gåsselmyran</t>
        </is>
      </c>
      <c r="B23" t="inlineStr">
        <is>
          <t>avverkningsanmälan</t>
        </is>
      </c>
      <c r="D23" s="1" t="n">
        <v>46218</v>
      </c>
      <c r="E23" s="1" t="n">
        <v>46218</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Y23">
        <f>HYPERLINK("https://klasma.github.io/Logging_FORSKNINGSRESAN_2025_BJURHOLM/klagomål/Gåsselmyran FSC-klagomål.docx", "Gåsselmyran")</f>
        <v/>
      </c>
      <c r="Z23">
        <f>HYPERLINK("https://klasma.github.io/Logging_FORSKNINGSRESAN_2025_BJURHOLM/klagomålsmail/Gåsselmyran FSC-klagomål mail.docx", "Gåsselmyran")</f>
        <v/>
      </c>
      <c r="AA23">
        <f>HYPERLINK("https://klasma.github.io/Logging_FORSKNINGSRESAN_2025_BJURHOLM/tillsyn/Gåsselmyran tillsynsbegäran.docx", "Gåsselmyran")</f>
        <v/>
      </c>
      <c r="AB23">
        <f>HYPERLINK("https://klasma.github.io/Logging_FORSKNINGSRESAN_2025_BJURHOLM/tillsynsmail/Gåsselmyran tillsynsbegäran mail.docx", "Gåsselmyran")</f>
        <v/>
      </c>
    </row>
    <row r="24" ht="15" customHeight="1">
      <c r="A24" t="inlineStr">
        <is>
          <t>Käringberget SV</t>
        </is>
      </c>
      <c r="B24" t="inlineStr">
        <is>
          <t>avverkningsanmälan</t>
        </is>
      </c>
      <c r="D24" s="1" t="n">
        <v>46218</v>
      </c>
      <c r="E24" s="1" t="n">
        <v>46218</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Y24">
        <f>HYPERLINK("https://klasma.github.io/Logging_FORSKNINGSRESAN_2025_BJURHOLM/klagomål/Käringberget SV FSC-klagomål.docx", "Käringberget SV")</f>
        <v/>
      </c>
      <c r="Z24">
        <f>HYPERLINK("https://klasma.github.io/Logging_FORSKNINGSRESAN_2025_BJURHOLM/klagomålsmail/Käringberget SV FSC-klagomål mail.docx", "Käringberget SV")</f>
        <v/>
      </c>
      <c r="AA24">
        <f>HYPERLINK("https://klasma.github.io/Logging_FORSKNINGSRESAN_2025_BJURHOLM/tillsyn/Käringberget SV tillsynsbegäran.docx", "Käringberget SV")</f>
        <v/>
      </c>
      <c r="AB24">
        <f>HYPERLINK("https://klasma.github.io/Logging_FORSKNINGSRESAN_2025_BJURHOLM/tillsynsmail/Käringberget SV tillsynsbegäran mail.docx", "Käringberget SV")</f>
        <v/>
      </c>
      <c r="AC24">
        <f>HYPERLINK("https://klasma.github.io/Logging_FORSKNINGSRESAN_2025_BJURHOLM/fåglar/Käringberget SV prioriterade fågelarter.docx", "Käringberget SV")</f>
        <v/>
      </c>
    </row>
    <row r="25" ht="15" customHeight="1">
      <c r="A25" t="inlineStr">
        <is>
          <t>Vitstensberget</t>
        </is>
      </c>
      <c r="B25" t="inlineStr">
        <is>
          <t>avverkningsanmälan</t>
        </is>
      </c>
      <c r="D25" s="1" t="n">
        <v>46218</v>
      </c>
      <c r="E25" s="1" t="n">
        <v>46218</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Y25">
        <f>HYPERLINK("https://klasma.github.io/Logging_FORSKNINGSRESAN_2025_BJURHOLM/klagomål/Vitstensberget FSC-klagomål.docx", "Vitstensberget")</f>
        <v/>
      </c>
      <c r="Z25">
        <f>HYPERLINK("https://klasma.github.io/Logging_FORSKNINGSRESAN_2025_BJURHOLM/klagomålsmail/Vitstensberget FSC-klagomål mail.docx", "Vitstensberget")</f>
        <v/>
      </c>
      <c r="AA25">
        <f>HYPERLINK("https://klasma.github.io/Logging_FORSKNINGSRESAN_2025_BJURHOLM/tillsyn/Vitstensberget tillsynsbegäran.docx", "Vitstensberget")</f>
        <v/>
      </c>
      <c r="AB25">
        <f>HYPERLINK("https://klasma.github.io/Logging_FORSKNINGSRESAN_2025_BJURHOLM/tillsynsmail/Vitstensberget tillsynsbegäran mail.docx", "Vitstensberget")</f>
        <v/>
      </c>
      <c r="AC25">
        <f>HYPERLINK("https://klasma.github.io/Logging_FORSKNINGSRESAN_2025_BJURHOLM/fåglar/Vitstensberget prioriterade fågelarter.docx", "Vitstensberget")</f>
        <v/>
      </c>
    </row>
    <row r="26" ht="15" customHeight="1">
      <c r="A26" t="inlineStr">
        <is>
          <t>Karlstjärnberget</t>
        </is>
      </c>
      <c r="B26" t="inlineStr">
        <is>
          <t>avverkningsanmälan</t>
        </is>
      </c>
      <c r="D26" s="1" t="n">
        <v>46218</v>
      </c>
      <c r="E26" s="1" t="n">
        <v>46218</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HYPERLINK("https://klasma.github.io/Logging_FORSKNINGSRESAN_2025_BJURHOLM/knärot/Karlstjärnberget karta knärot.png", "Karlstjärnberget")</f>
        <v/>
      </c>
      <c r="Y26">
        <f>HYPERLINK("https://klasma.github.io/Logging_FORSKNINGSRESAN_2025_BJURHOLM/klagomål/Karlstjärnberget FSC-klagomål.docx", "Karlstjärnberget")</f>
        <v/>
      </c>
      <c r="Z26">
        <f>HYPERLINK("https://klasma.github.io/Logging_FORSKNINGSRESAN_2025_BJURHOLM/klagomålsmail/Karlstjärnberget FSC-klagomål mail.docx", "Karlstjärnberget")</f>
        <v/>
      </c>
      <c r="AA26">
        <f>HYPERLINK("https://klasma.github.io/Logging_FORSKNINGSRESAN_2025_BJURHOLM/tillsyn/Karlstjärnberget tillsynsbegäran.docx", "Karlstjärnberget")</f>
        <v/>
      </c>
      <c r="AB26">
        <f>HYPERLINK("https://klasma.github.io/Logging_FORSKNINGSRESAN_2025_BJURHOLM/tillsynsmail/Karlstjärnberget tillsynsbegäran mail.docx", "Karlstjärnberget")</f>
        <v/>
      </c>
      <c r="AC26">
        <f>HYPERLINK("https://klasma.github.io/Logging_FORSKNINGSRESAN_2025_BJURHOLM/fåglar/Karlstjärnberget prioriterade fågelarter.docx", "Karlstjärnberget")</f>
        <v/>
      </c>
    </row>
    <row r="27" ht="15" customHeight="1">
      <c r="A27" t="inlineStr">
        <is>
          <t>Herrbergsliden norr</t>
        </is>
      </c>
      <c r="B27" t="inlineStr">
        <is>
          <t>avverkningsanmälan</t>
        </is>
      </c>
      <c r="D27" s="1" t="n">
        <v>46218</v>
      </c>
      <c r="E27" s="1" t="n">
        <v>46218</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HYPERLINK("https://klasma.github.io/Logging_FORSKNINGSRESAN_2025_BJURHOLM/knärot/Herrbergsliden norr karta knärot.png", "Herrbergsliden norr")</f>
        <v/>
      </c>
      <c r="Y27">
        <f>HYPERLINK("https://klasma.github.io/Logging_FORSKNINGSRESAN_2025_BJURHOLM/klagomål/Herrbergsliden norr FSC-klagomål.docx", "Herrbergsliden norr")</f>
        <v/>
      </c>
      <c r="Z27">
        <f>HYPERLINK("https://klasma.github.io/Logging_FORSKNINGSRESAN_2025_BJURHOLM/klagomålsmail/Herrbergsliden norr FSC-klagomål mail.docx", "Herrbergsliden norr")</f>
        <v/>
      </c>
      <c r="AA27">
        <f>HYPERLINK("https://klasma.github.io/Logging_FORSKNINGSRESAN_2025_BJURHOLM/tillsyn/Herrbergsliden norr tillsynsbegäran.docx", "Herrbergsliden norr")</f>
        <v/>
      </c>
      <c r="AB27">
        <f>HYPERLINK("https://klasma.github.io/Logging_FORSKNINGSRESAN_2025_BJURHOLM/tillsynsmail/Herrbergsliden norr tillsynsbegäran mail.docx", "Herrbergsliden norr")</f>
        <v/>
      </c>
      <c r="AC27">
        <f>HYPERLINK("https://klasma.github.io/Logging_FORSKNINGSRESAN_2025_BJURHOLM/fåglar/Herrbergsliden norr prioriterade fågelarter.docx", "Herrbergsliden norr")</f>
        <v/>
      </c>
    </row>
    <row r="28" ht="15" customHeight="1">
      <c r="A28" t="inlineStr">
        <is>
          <t>Björnberget SV</t>
        </is>
      </c>
      <c r="B28" t="inlineStr">
        <is>
          <t>avverkningsanmälan</t>
        </is>
      </c>
      <c r="D28" s="1" t="n">
        <v>46218</v>
      </c>
      <c r="E28" s="1" t="n">
        <v>46218</v>
      </c>
      <c r="F28" t="inlineStr"/>
      <c r="G28" t="inlineStr">
        <is>
          <t>Bjurholm</t>
        </is>
      </c>
      <c r="H28" t="inlineStr">
        <is>
          <t>SCA</t>
        </is>
      </c>
      <c r="I28" t="n">
        <v>57.7</v>
      </c>
      <c r="J28" t="n">
        <v>5</v>
      </c>
      <c r="K28" t="n">
        <v>5</v>
      </c>
      <c r="L28" t="n">
        <v>10</v>
      </c>
      <c r="M28" t="n">
        <v>5</v>
      </c>
      <c r="N28" t="n">
        <v>0</v>
      </c>
      <c r="O28" t="n">
        <v>0</v>
      </c>
      <c r="P28" t="n">
        <v>0</v>
      </c>
      <c r="Q28" t="n">
        <v>15</v>
      </c>
      <c r="R28" t="n">
        <v>5</v>
      </c>
      <c r="S28" t="n">
        <v>22</v>
      </c>
      <c r="T28" t="n">
        <v>32</v>
      </c>
      <c r="U28" s="2" t="inlineStr">
        <is>
          <t>Garnlav
Knärot
Liten aspgelélav
Skrovlig taggsvamp
Tornseglare
Dropptaggsvamp
Dvärgbägarlav
Gammelgransskål
Göktyta
Lunglav
Mörk kolflarnlav
Nordtagging
Orange taggsvamp
Reliktbock
Älg
Barkticka
Bårdlav
Skinnlav
Stor aspticka
Stuplav
Kungsfågel
Fläcknycklar</t>
        </is>
      </c>
      <c r="V28">
        <f>HYPERLINK("https://klasma.github.io/Logging_FORSKNINGSRESAN_2025_BJURHOLM/artfynd/Björnberget SV artfynd.xlsx", "Björnberget SV")</f>
        <v/>
      </c>
      <c r="W28">
        <f>HYPERLINK("https://klasma.github.io/Logging_FORSKNINGSRESAN_2025_BJURHOLM/kartor/Björnberget SV karta.png", "Björnberget SV")</f>
        <v/>
      </c>
      <c r="X28">
        <f>HYPERLINK("https://klasma.github.io/Logging_FORSKNINGSRESAN_2025_BJURHOLM/knärot/Björnberget SV karta knärot.png", "Björnberget SV")</f>
        <v/>
      </c>
      <c r="Y28">
        <f>HYPERLINK("https://klasma.github.io/Logging_FORSKNINGSRESAN_2025_BJURHOLM/klagomål/Björnberget SV FSC-klagomål.docx", "Björnberget SV")</f>
        <v/>
      </c>
      <c r="Z28">
        <f>HYPERLINK("https://klasma.github.io/Logging_FORSKNINGSRESAN_2025_BJURHOLM/klagomålsmail/Björnberget SV FSC-klagomål mail.docx", "Björnberget SV")</f>
        <v/>
      </c>
      <c r="AA28">
        <f>HYPERLINK("https://klasma.github.io/Logging_FORSKNINGSRESAN_2025_BJURHOLM/tillsyn/Björnberget SV tillsynsbegäran.docx", "Björnberget SV")</f>
        <v/>
      </c>
      <c r="AB28">
        <f>HYPERLINK("https://klasma.github.io/Logging_FORSKNINGSRESAN_2025_BJURHOLM/tillsynsmail/Björnberget SV tillsynsbegäran mail.docx", "Björnberget SV")</f>
        <v/>
      </c>
      <c r="AC28">
        <f>HYPERLINK("https://klasma.github.io/Logging_FORSKNINGSRESAN_2025_BJURHOLM/fåglar/Björnberget SV prioriterade fågelarter.docx", "Björnberget SV")</f>
        <v/>
      </c>
    </row>
    <row r="29" ht="15" customHeight="1">
      <c r="A29" t="inlineStr">
        <is>
          <t>Björnberget NV</t>
        </is>
      </c>
      <c r="B29" t="inlineStr">
        <is>
          <t>avverkningsanmälan</t>
        </is>
      </c>
      <c r="D29" s="1" t="n">
        <v>46218</v>
      </c>
      <c r="E29" s="1" t="n">
        <v>46218</v>
      </c>
      <c r="F29" t="inlineStr"/>
      <c r="G29" t="inlineStr">
        <is>
          <t>Bjurholm</t>
        </is>
      </c>
      <c r="H29" t="inlineStr">
        <is>
          <t>SCA</t>
        </is>
      </c>
      <c r="I29" t="n">
        <v>80.59999999999999</v>
      </c>
      <c r="J29" t="n">
        <v>1</v>
      </c>
      <c r="K29" t="n">
        <v>7</v>
      </c>
      <c r="L29" t="n">
        <v>13</v>
      </c>
      <c r="M29" t="n">
        <v>2</v>
      </c>
      <c r="N29" t="n">
        <v>0</v>
      </c>
      <c r="O29" t="n">
        <v>0</v>
      </c>
      <c r="P29" t="n">
        <v>0</v>
      </c>
      <c r="Q29" t="n">
        <v>15</v>
      </c>
      <c r="R29" t="n">
        <v>2</v>
      </c>
      <c r="S29" t="n">
        <v>22</v>
      </c>
      <c r="T29" t="n">
        <v>55</v>
      </c>
      <c r="U29"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9">
        <f>HYPERLINK("https://klasma.github.io/Logging_FORSKNINGSRESAN_2025_BJURHOLM/artfynd/Björnberget NV artfynd.xlsx", "Björnberget NV")</f>
        <v/>
      </c>
      <c r="W29">
        <f>HYPERLINK("https://klasma.github.io/Logging_FORSKNINGSRESAN_2025_BJURHOLM/kartor/Björnberget NV karta.png", "Björnberget NV")</f>
        <v/>
      </c>
      <c r="Y29">
        <f>HYPERLINK("https://klasma.github.io/Logging_FORSKNINGSRESAN_2025_BJURHOLM/klagomål/Björnberget NV FSC-klagomål.docx", "Björnberget NV")</f>
        <v/>
      </c>
      <c r="Z29">
        <f>HYPERLINK("https://klasma.github.io/Logging_FORSKNINGSRESAN_2025_BJURHOLM/klagomålsmail/Björnberget NV FSC-klagomål mail.docx", "Björnberget NV")</f>
        <v/>
      </c>
      <c r="AA29">
        <f>HYPERLINK("https://klasma.github.io/Logging_FORSKNINGSRESAN_2025_BJURHOLM/tillsyn/Björnberget NV tillsynsbegäran.docx", "Björnberget NV")</f>
        <v/>
      </c>
      <c r="AB29">
        <f>HYPERLINK("https://klasma.github.io/Logging_FORSKNINGSRESAN_2025_BJURHOLM/tillsynsmail/Björnberget NV tillsynsbegäran mail.docx", "Björnberget NV")</f>
        <v/>
      </c>
      <c r="AC29">
        <f>HYPERLINK("https://klasma.github.io/Logging_FORSKNINGSRESAN_2025_BJURHOLM/fåglar/Björnberget NV prioriterade fågelarter.docx", "Björnberget NV")</f>
        <v/>
      </c>
    </row>
    <row r="30" ht="15" customHeight="1">
      <c r="A30" t="inlineStr">
        <is>
          <t>Kläpptjärnen</t>
        </is>
      </c>
      <c r="B30" t="inlineStr">
        <is>
          <t>avverkningsanmälan</t>
        </is>
      </c>
      <c r="D30" s="1" t="n">
        <v>46218</v>
      </c>
      <c r="E30" s="1" t="n">
        <v>46218</v>
      </c>
      <c r="F30" t="inlineStr"/>
      <c r="G30" t="inlineStr">
        <is>
          <t>Bjurholm</t>
        </is>
      </c>
      <c r="H30" t="inlineStr">
        <is>
          <t>SCA</t>
        </is>
      </c>
      <c r="I30" t="n">
        <v>113.3</v>
      </c>
      <c r="J30" t="n">
        <v>4</v>
      </c>
      <c r="K30" t="n">
        <v>1</v>
      </c>
      <c r="L30" t="n">
        <v>15</v>
      </c>
      <c r="M30" t="n">
        <v>3</v>
      </c>
      <c r="N30" t="n">
        <v>0</v>
      </c>
      <c r="O30" t="n">
        <v>0</v>
      </c>
      <c r="P30" t="n">
        <v>0</v>
      </c>
      <c r="Q30" t="n">
        <v>18</v>
      </c>
      <c r="R30" t="n">
        <v>3</v>
      </c>
      <c r="S30" t="n">
        <v>21</v>
      </c>
      <c r="T30" t="n">
        <v>45</v>
      </c>
      <c r="U30" s="2" t="inlineStr">
        <is>
          <t>Goliatmusseron
Jättemusseron
Skrovlig taggsvamp
Blå taggsvamp
Dropptaggsvamp
Dvärgbägarlav
Kolflarnlav
Motaggsvamp
Mörk kolflarnlav
Orange taggsvamp
Skarp dropptaggsvamp
Tallfingersvamp
Talltaggsvamp
Tallticka
Tretåig hackspett
Vaddporing
Vedflamlav
Vedskivlav
Plattlummer
Gröngöling
Revlummer</t>
        </is>
      </c>
      <c r="V30">
        <f>HYPERLINK("https://klasma.github.io/Logging_FORSKNINGSRESAN_2025_BJURHOLM/artfynd/Kläpptjärnen artfynd.xlsx", "Kläpptjärnen")</f>
        <v/>
      </c>
      <c r="W30">
        <f>HYPERLINK("https://klasma.github.io/Logging_FORSKNINGSRESAN_2025_BJURHOLM/kartor/Kläpptjärnen karta.png", "Kläpptjärnen")</f>
        <v/>
      </c>
      <c r="Y30">
        <f>HYPERLINK("https://klasma.github.io/Logging_FORSKNINGSRESAN_2025_BJURHOLM/klagomål/Kläpptjärnen FSC-klagomål.docx", "Kläpptjärnen")</f>
        <v/>
      </c>
      <c r="Z30">
        <f>HYPERLINK("https://klasma.github.io/Logging_FORSKNINGSRESAN_2025_BJURHOLM/klagomålsmail/Kläpptjärnen FSC-klagomål mail.docx", "Kläpptjärnen")</f>
        <v/>
      </c>
      <c r="AA30">
        <f>HYPERLINK("https://klasma.github.io/Logging_FORSKNINGSRESAN_2025_BJURHOLM/tillsyn/Kläpptjärnen tillsynsbegäran.docx", "Kläpptjärnen")</f>
        <v/>
      </c>
      <c r="AB30">
        <f>HYPERLINK("https://klasma.github.io/Logging_FORSKNINGSRESAN_2025_BJURHOLM/tillsynsmail/Kläpptjärnen tillsynsbegäran mail.docx", "Kläpptjärnen")</f>
        <v/>
      </c>
      <c r="AC30">
        <f>HYPERLINK("https://klasma.github.io/Logging_FORSKNINGSRESAN_2025_BJURHOLM/fåglar/Kläpptjärnen prioriterade fågelarter.docx", "Kläpptjärnen")</f>
        <v/>
      </c>
    </row>
    <row r="31" ht="15" customHeight="1">
      <c r="A31" t="inlineStr">
        <is>
          <t>Johannesbomyran</t>
        </is>
      </c>
      <c r="B31" t="inlineStr">
        <is>
          <t>avverkningsanmälan</t>
        </is>
      </c>
      <c r="D31" s="1" t="n">
        <v>46218</v>
      </c>
      <c r="E31" s="1" t="n">
        <v>46218</v>
      </c>
      <c r="F31" t="inlineStr"/>
      <c r="G31" t="inlineStr">
        <is>
          <t>Bjurholm</t>
        </is>
      </c>
      <c r="H31" t="inlineStr">
        <is>
          <t>Holmen skog AB</t>
        </is>
      </c>
      <c r="I31" t="n">
        <v>66.09999999999999</v>
      </c>
      <c r="J31" t="n">
        <v>4</v>
      </c>
      <c r="K31" t="n">
        <v>7</v>
      </c>
      <c r="L31" t="n">
        <v>10</v>
      </c>
      <c r="M31" t="n">
        <v>2</v>
      </c>
      <c r="N31" t="n">
        <v>0</v>
      </c>
      <c r="O31" t="n">
        <v>0</v>
      </c>
      <c r="P31" t="n">
        <v>0</v>
      </c>
      <c r="Q31" t="n">
        <v>12</v>
      </c>
      <c r="R31" t="n">
        <v>2</v>
      </c>
      <c r="S31" t="n">
        <v>20</v>
      </c>
      <c r="T31" t="n">
        <v>132</v>
      </c>
      <c r="U31" s="2" t="inlineStr">
        <is>
          <t>Garnlav
Knärot
Doftskinn
Dropptaggsvamp
Kolflarnlav
Kortskaftad ärgspik
Lunglav
Mörk kolflarnlav
Tallticka
Tretåig hackspett
Vedskivlav
Violettgrå tagellav
Bårdlav
Dvärgtufs
Luddlav
Plattlummer
Skinnlav
Stor aspticka
Stuplav
Ljungpipare</t>
        </is>
      </c>
      <c r="V31">
        <f>HYPERLINK("https://klasma.github.io/Logging_FORSKNINGSRESAN_2025_BJURHOLM/artfynd/Johannesbomyran artfynd.xlsx", "Johannesbomyran")</f>
        <v/>
      </c>
      <c r="W31">
        <f>HYPERLINK("https://klasma.github.io/Logging_FORSKNINGSRESAN_2025_BJURHOLM/kartor/Johannesbomyran karta.png", "Johannesbomyran")</f>
        <v/>
      </c>
      <c r="X31">
        <f>HYPERLINK("https://klasma.github.io/Logging_FORSKNINGSRESAN_2025_BJURHOLM/knärot/Johannesbomyran karta knärot.png", "Johannesbomyran")</f>
        <v/>
      </c>
      <c r="Y31">
        <f>HYPERLINK("https://klasma.github.io/Logging_FORSKNINGSRESAN_2025_BJURHOLM/klagomål/Johannesbomyran FSC-klagomål.docx", "Johannesbomyran")</f>
        <v/>
      </c>
      <c r="Z31">
        <f>HYPERLINK("https://klasma.github.io/Logging_FORSKNINGSRESAN_2025_BJURHOLM/klagomålsmail/Johannesbomyran FSC-klagomål mail.docx", "Johannesbomyran")</f>
        <v/>
      </c>
      <c r="AA31">
        <f>HYPERLINK("https://klasma.github.io/Logging_FORSKNINGSRESAN_2025_BJURHOLM/tillsyn/Johannesbomyran tillsynsbegäran.docx", "Johannesbomyran")</f>
        <v/>
      </c>
      <c r="AB31">
        <f>HYPERLINK("https://klasma.github.io/Logging_FORSKNINGSRESAN_2025_BJURHOLM/tillsynsmail/Johannesbomyran tillsynsbegäran mail.docx", "Johannesbomyran")</f>
        <v/>
      </c>
      <c r="AC31">
        <f>HYPERLINK("https://klasma.github.io/Logging_FORSKNINGSRESAN_2025_BJURHOLM/fåglar/Johannesbomyran prioriterade fågelarter.docx", "Johannesbomyran")</f>
        <v/>
      </c>
    </row>
    <row r="32" ht="15" customHeight="1">
      <c r="A32" t="inlineStr">
        <is>
          <t>Stockbäcken</t>
        </is>
      </c>
      <c r="B32" t="inlineStr">
        <is>
          <t>avverkningsanmälan</t>
        </is>
      </c>
      <c r="D32" s="1" t="n">
        <v>46218</v>
      </c>
      <c r="E32" s="1" t="n">
        <v>46218</v>
      </c>
      <c r="F32" t="inlineStr"/>
      <c r="G32" t="inlineStr">
        <is>
          <t>Bjurholm</t>
        </is>
      </c>
      <c r="H32" t="inlineStr">
        <is>
          <t>SCA</t>
        </is>
      </c>
      <c r="I32" t="n">
        <v>63.2</v>
      </c>
      <c r="J32" t="n">
        <v>1</v>
      </c>
      <c r="K32" t="n">
        <v>3</v>
      </c>
      <c r="L32" t="n">
        <v>12</v>
      </c>
      <c r="M32" t="n">
        <v>4</v>
      </c>
      <c r="N32" t="n">
        <v>0</v>
      </c>
      <c r="O32" t="n">
        <v>0</v>
      </c>
      <c r="P32" t="n">
        <v>0</v>
      </c>
      <c r="Q32" t="n">
        <v>16</v>
      </c>
      <c r="R32" t="n">
        <v>4</v>
      </c>
      <c r="S32" t="n">
        <v>19</v>
      </c>
      <c r="T32" t="n">
        <v>72</v>
      </c>
      <c r="U32" s="2" t="inlineStr">
        <is>
          <t>Aspgelélav
Garnlav
Gränsticka
Lappticka
Blågrå svartspik
Doftskinn
Gammelgransskål
Lavskrika
Lunglav
Mörk kolflarnlav
Rynkskinn
Rödbrun blekspik
Ullticka
Vedflamlav
Vedskivlav
Violettgrå tagellav
Mörk husmossa
Stuplav
Vedticka</t>
        </is>
      </c>
      <c r="V32">
        <f>HYPERLINK("https://klasma.github.io/Logging_FORSKNINGSRESAN_2025_BJURHOLM/artfynd/Stockbäcken artfynd.xlsx", "Stockbäcken")</f>
        <v/>
      </c>
      <c r="W32">
        <f>HYPERLINK("https://klasma.github.io/Logging_FORSKNINGSRESAN_2025_BJURHOLM/kartor/Stockbäcken karta.png", "Stockbäcken")</f>
        <v/>
      </c>
      <c r="Y32">
        <f>HYPERLINK("https://klasma.github.io/Logging_FORSKNINGSRESAN_2025_BJURHOLM/klagomål/Stockbäcken FSC-klagomål.docx", "Stockbäcken")</f>
        <v/>
      </c>
      <c r="Z32">
        <f>HYPERLINK("https://klasma.github.io/Logging_FORSKNINGSRESAN_2025_BJURHOLM/klagomålsmail/Stockbäcken FSC-klagomål mail.docx", "Stockbäcken")</f>
        <v/>
      </c>
      <c r="AA32">
        <f>HYPERLINK("https://klasma.github.io/Logging_FORSKNINGSRESAN_2025_BJURHOLM/tillsyn/Stockbäcken tillsynsbegäran.docx", "Stockbäcken")</f>
        <v/>
      </c>
      <c r="AB32">
        <f>HYPERLINK("https://klasma.github.io/Logging_FORSKNINGSRESAN_2025_BJURHOLM/tillsynsmail/Stockbäcken tillsynsbegäran mail.docx", "Stockbäcken")</f>
        <v/>
      </c>
      <c r="AC32">
        <f>HYPERLINK("https://klasma.github.io/Logging_FORSKNINGSRESAN_2025_BJURHOLM/fåglar/Stockbäcken prioriterade fågelarter.docx", "Stockbäcken")</f>
        <v/>
      </c>
    </row>
    <row r="33" ht="15" customHeight="1">
      <c r="A33" t="inlineStr">
        <is>
          <t>Lögdaselet</t>
        </is>
      </c>
      <c r="B33" t="inlineStr">
        <is>
          <t>avverkningsanmälan</t>
        </is>
      </c>
      <c r="D33" s="1" t="n">
        <v>46218</v>
      </c>
      <c r="E33" s="1" t="n">
        <v>46218</v>
      </c>
      <c r="F33" t="inlineStr"/>
      <c r="G33" t="inlineStr">
        <is>
          <t>Bjurholm</t>
        </is>
      </c>
      <c r="H33" t="inlineStr">
        <is>
          <t>Sveaskog</t>
        </is>
      </c>
      <c r="I33" t="n">
        <v>166.5</v>
      </c>
      <c r="J33" t="n">
        <v>5</v>
      </c>
      <c r="K33" t="n">
        <v>4</v>
      </c>
      <c r="L33" t="n">
        <v>10</v>
      </c>
      <c r="M33" t="n">
        <v>2</v>
      </c>
      <c r="N33" t="n">
        <v>0</v>
      </c>
      <c r="O33" t="n">
        <v>0</v>
      </c>
      <c r="P33" t="n">
        <v>0</v>
      </c>
      <c r="Q33" t="n">
        <v>12</v>
      </c>
      <c r="R33" t="n">
        <v>2</v>
      </c>
      <c r="S33" t="n">
        <v>18</v>
      </c>
      <c r="T33" t="n">
        <v>48</v>
      </c>
      <c r="U33" s="2" t="inlineStr">
        <is>
          <t>Garnlav
Knärot
Blanksvart spiklav
Dvärgbägarlav
Gammelgransskål
Liten svartspik
Lunglav
Mörk kolflarnlav
Tretåig hackspett
Vedflamlav
Vedskivlav
Vitgrynig nållav
Luddlav
Norrlandslav
Spindelblomster
Stuplav
Spillkråka
Fläcknycklar</t>
        </is>
      </c>
      <c r="V33">
        <f>HYPERLINK("https://klasma.github.io/Logging_FORSKNINGSRESAN_2025_BJURHOLM/artfynd/Lögdaselet artfynd.xlsx", "Lögdaselet")</f>
        <v/>
      </c>
      <c r="W33">
        <f>HYPERLINK("https://klasma.github.io/Logging_FORSKNINGSRESAN_2025_BJURHOLM/kartor/Lögdaselet karta.png", "Lögdaselet")</f>
        <v/>
      </c>
      <c r="X33">
        <f>HYPERLINK("https://klasma.github.io/Logging_FORSKNINGSRESAN_2025_BJURHOLM/knärot/Lögdaselet karta knärot.png", "Lögdaselet")</f>
        <v/>
      </c>
      <c r="Y33">
        <f>HYPERLINK("https://klasma.github.io/Logging_FORSKNINGSRESAN_2025_BJURHOLM/klagomål/Lögdaselet FSC-klagomål.docx", "Lögdaselet")</f>
        <v/>
      </c>
      <c r="Z33">
        <f>HYPERLINK("https://klasma.github.io/Logging_FORSKNINGSRESAN_2025_BJURHOLM/klagomålsmail/Lögdaselet FSC-klagomål mail.docx", "Lögdaselet")</f>
        <v/>
      </c>
      <c r="AA33">
        <f>HYPERLINK("https://klasma.github.io/Logging_FORSKNINGSRESAN_2025_BJURHOLM/tillsyn/Lögdaselet tillsynsbegäran.docx", "Lögdaselet")</f>
        <v/>
      </c>
      <c r="AB33">
        <f>HYPERLINK("https://klasma.github.io/Logging_FORSKNINGSRESAN_2025_BJURHOLM/tillsynsmail/Lögdaselet tillsynsbegäran mail.docx", "Lögdaselet")</f>
        <v/>
      </c>
      <c r="AC33">
        <f>HYPERLINK("https://klasma.github.io/Logging_FORSKNINGSRESAN_2025_BJURHOLM/fåglar/Lögdaselet prioriterade fågelarter.docx", "Lögdaselet")</f>
        <v/>
      </c>
    </row>
    <row r="34" ht="15" customHeight="1">
      <c r="A34" t="inlineStr">
        <is>
          <t>Holmtjärnen</t>
        </is>
      </c>
      <c r="B34" t="inlineStr">
        <is>
          <t>avverkningsanmälan</t>
        </is>
      </c>
      <c r="D34" s="1" t="n">
        <v>46218</v>
      </c>
      <c r="E34" s="1" t="n">
        <v>46218</v>
      </c>
      <c r="F34" t="inlineStr"/>
      <c r="G34" t="inlineStr">
        <is>
          <t>Bjurholm</t>
        </is>
      </c>
      <c r="H34" t="inlineStr">
        <is>
          <t>SCA</t>
        </is>
      </c>
      <c r="I34" t="n">
        <v>105.2</v>
      </c>
      <c r="J34" t="n">
        <v>1</v>
      </c>
      <c r="K34" t="n">
        <v>1</v>
      </c>
      <c r="L34" t="n">
        <v>11</v>
      </c>
      <c r="M34" t="n">
        <v>6</v>
      </c>
      <c r="N34" t="n">
        <v>0</v>
      </c>
      <c r="O34" t="n">
        <v>0</v>
      </c>
      <c r="P34" t="n">
        <v>0</v>
      </c>
      <c r="Q34" t="n">
        <v>17</v>
      </c>
      <c r="R34" t="n">
        <v>6</v>
      </c>
      <c r="S34" t="n">
        <v>18</v>
      </c>
      <c r="T34" t="n">
        <v>39</v>
      </c>
      <c r="U34" s="2" t="inlineStr">
        <is>
          <t>Fläckporing
Garnlav
Goliatmusseron
Gräddporing
Gränsticka
Skrovlig taggsvamp
Blå taggsvamp
Dvärgbägarlav
Kolflarnlav
Lunglav
Nordtagging
Reliktbock
Skrovellav
Talltita
Vaddporing
Vedflamlav
Vedskivlav
Bårdlav</t>
        </is>
      </c>
      <c r="V34">
        <f>HYPERLINK("https://klasma.github.io/Logging_FORSKNINGSRESAN_2025_BJURHOLM/artfynd/Holmtjärnen artfynd.xlsx", "Holmtjärnen")</f>
        <v/>
      </c>
      <c r="W34">
        <f>HYPERLINK("https://klasma.github.io/Logging_FORSKNINGSRESAN_2025_BJURHOLM/kartor/Holmtjärnen karta.png", "Holmtjärnen")</f>
        <v/>
      </c>
      <c r="Y34">
        <f>HYPERLINK("https://klasma.github.io/Logging_FORSKNINGSRESAN_2025_BJURHOLM/klagomål/Holmtjärnen FSC-klagomål.docx", "Holmtjärnen")</f>
        <v/>
      </c>
      <c r="Z34">
        <f>HYPERLINK("https://klasma.github.io/Logging_FORSKNINGSRESAN_2025_BJURHOLM/klagomålsmail/Holmtjärnen FSC-klagomål mail.docx", "Holmtjärnen")</f>
        <v/>
      </c>
      <c r="AA34">
        <f>HYPERLINK("https://klasma.github.io/Logging_FORSKNINGSRESAN_2025_BJURHOLM/tillsyn/Holmtjärnen tillsynsbegäran.docx", "Holmtjärnen")</f>
        <v/>
      </c>
      <c r="AB34">
        <f>HYPERLINK("https://klasma.github.io/Logging_FORSKNINGSRESAN_2025_BJURHOLM/tillsynsmail/Holmtjärnen tillsynsbegäran mail.docx", "Holmtjärnen")</f>
        <v/>
      </c>
      <c r="AC34">
        <f>HYPERLINK("https://klasma.github.io/Logging_FORSKNINGSRESAN_2025_BJURHOLM/fåglar/Holmtjärnen prioriterade fågelarter.docx", "Holmtjärnen")</f>
        <v/>
      </c>
    </row>
    <row r="35" ht="15" customHeight="1">
      <c r="A35" t="inlineStr">
        <is>
          <t>Aspmyrbäcken</t>
        </is>
      </c>
      <c r="B35" t="inlineStr">
        <is>
          <t>avverkningsanmälan</t>
        </is>
      </c>
      <c r="D35" s="1" t="n">
        <v>46218</v>
      </c>
      <c r="E35" s="1" t="n">
        <v>46218</v>
      </c>
      <c r="F35" t="inlineStr"/>
      <c r="G35" t="inlineStr">
        <is>
          <t>Bjurholm</t>
        </is>
      </c>
      <c r="H35" t="inlineStr">
        <is>
          <t>Sveaskog</t>
        </is>
      </c>
      <c r="I35" t="n">
        <v>356.4</v>
      </c>
      <c r="J35" t="n">
        <v>2</v>
      </c>
      <c r="K35" t="n">
        <v>5</v>
      </c>
      <c r="L35" t="n">
        <v>9</v>
      </c>
      <c r="M35" t="n">
        <v>3</v>
      </c>
      <c r="N35" t="n">
        <v>0</v>
      </c>
      <c r="O35" t="n">
        <v>0</v>
      </c>
      <c r="P35" t="n">
        <v>0</v>
      </c>
      <c r="Q35" t="n">
        <v>12</v>
      </c>
      <c r="R35" t="n">
        <v>3</v>
      </c>
      <c r="S35" t="n">
        <v>18</v>
      </c>
      <c r="T35" t="n">
        <v>72</v>
      </c>
      <c r="U35" s="2" t="inlineStr">
        <is>
          <t>Garnlav
Lappticka
Ostticka
Doftskinn
Gammelgransskål
Lunglav
Rosenticka
Rynkskinn
Skrovellav
Tretåig hackspett
Ullticka
Violmussling
Bollvitmossa
Skinnlav
Stuplav
Trådticka
Vedticka
Fläcknycklar</t>
        </is>
      </c>
      <c r="V35">
        <f>HYPERLINK("https://klasma.github.io/Logging_FORSKNINGSRESAN_2025_BJURHOLM/artfynd/Aspmyrbäcken artfynd.xlsx", "Aspmyrbäcken")</f>
        <v/>
      </c>
      <c r="W35">
        <f>HYPERLINK("https://klasma.github.io/Logging_FORSKNINGSRESAN_2025_BJURHOLM/kartor/Aspmyrbäcken karta.png", "Aspmyrbäcken")</f>
        <v/>
      </c>
      <c r="Y35">
        <f>HYPERLINK("https://klasma.github.io/Logging_FORSKNINGSRESAN_2025_BJURHOLM/klagomål/Aspmyrbäcken FSC-klagomål.docx", "Aspmyrbäcken")</f>
        <v/>
      </c>
      <c r="Z35">
        <f>HYPERLINK("https://klasma.github.io/Logging_FORSKNINGSRESAN_2025_BJURHOLM/klagomålsmail/Aspmyrbäcken FSC-klagomål mail.docx", "Aspmyrbäcken")</f>
        <v/>
      </c>
      <c r="AA35">
        <f>HYPERLINK("https://klasma.github.io/Logging_FORSKNINGSRESAN_2025_BJURHOLM/tillsyn/Aspmyrbäcken tillsynsbegäran.docx", "Aspmyrbäcken")</f>
        <v/>
      </c>
      <c r="AB35">
        <f>HYPERLINK("https://klasma.github.io/Logging_FORSKNINGSRESAN_2025_BJURHOLM/tillsynsmail/Aspmyrbäcken tillsynsbegäran mail.docx", "Aspmyrbäcken")</f>
        <v/>
      </c>
      <c r="AC35">
        <f>HYPERLINK("https://klasma.github.io/Logging_FORSKNINGSRESAN_2025_BJURHOLM/fåglar/Aspmyrbäcken prioriterade fågelarter.docx", "Aspmyrbäcken")</f>
        <v/>
      </c>
    </row>
    <row r="36" ht="15" customHeight="1">
      <c r="A36" t="inlineStr">
        <is>
          <t>Gubbmyran</t>
        </is>
      </c>
      <c r="B36" t="inlineStr">
        <is>
          <t>avverkningsanmälan</t>
        </is>
      </c>
      <c r="D36" s="1" t="n">
        <v>46218</v>
      </c>
      <c r="E36" s="1" t="n">
        <v>46218</v>
      </c>
      <c r="F36" t="inlineStr"/>
      <c r="G36" t="inlineStr">
        <is>
          <t>Bjurholm</t>
        </is>
      </c>
      <c r="H36" t="inlineStr">
        <is>
          <t>Holmen skog AB</t>
        </is>
      </c>
      <c r="I36" t="n">
        <v>186</v>
      </c>
      <c r="J36" t="n">
        <v>1</v>
      </c>
      <c r="K36" t="n">
        <v>2</v>
      </c>
      <c r="L36" t="n">
        <v>9</v>
      </c>
      <c r="M36" t="n">
        <v>5</v>
      </c>
      <c r="N36" t="n">
        <v>0</v>
      </c>
      <c r="O36" t="n">
        <v>0</v>
      </c>
      <c r="P36" t="n">
        <v>0</v>
      </c>
      <c r="Q36" t="n">
        <v>14</v>
      </c>
      <c r="R36" t="n">
        <v>5</v>
      </c>
      <c r="S36" t="n">
        <v>16</v>
      </c>
      <c r="T36" t="n">
        <v>34</v>
      </c>
      <c r="U36" s="2" t="inlineStr">
        <is>
          <t>Garnlav
Gränsticka
Lappticka
Liten sotlav
Vitskaftad svartspik
Doftskinn
Gammelgransskål
Harticka
Rosenticka
Rynkskinn
Rödbrun blekspik
Tretåig hackspett
Ullticka
Violettgrå tagellav
Blodticka
Trådticka</t>
        </is>
      </c>
      <c r="V36">
        <f>HYPERLINK("https://klasma.github.io/Logging_FORSKNINGSRESAN_2025_BJURHOLM/artfynd/Gubbmyran artfynd.xlsx", "Gubbmyran")</f>
        <v/>
      </c>
      <c r="W36">
        <f>HYPERLINK("https://klasma.github.io/Logging_FORSKNINGSRESAN_2025_BJURHOLM/kartor/Gubbmyran karta.png", "Gubbmyran")</f>
        <v/>
      </c>
      <c r="Y36">
        <f>HYPERLINK("https://klasma.github.io/Logging_FORSKNINGSRESAN_2025_BJURHOLM/klagomål/Gubbmyran FSC-klagomål.docx", "Gubbmyran")</f>
        <v/>
      </c>
      <c r="Z36">
        <f>HYPERLINK("https://klasma.github.io/Logging_FORSKNINGSRESAN_2025_BJURHOLM/klagomålsmail/Gubbmyran FSC-klagomål mail.docx", "Gubbmyran")</f>
        <v/>
      </c>
      <c r="AA36">
        <f>HYPERLINK("https://klasma.github.io/Logging_FORSKNINGSRESAN_2025_BJURHOLM/tillsyn/Gubbmyran tillsynsbegäran.docx", "Gubbmyran")</f>
        <v/>
      </c>
      <c r="AB36">
        <f>HYPERLINK("https://klasma.github.io/Logging_FORSKNINGSRESAN_2025_BJURHOLM/tillsynsmail/Gubbmyran tillsynsbegäran mail.docx", "Gubbmyran")</f>
        <v/>
      </c>
      <c r="AC36">
        <f>HYPERLINK("https://klasma.github.io/Logging_FORSKNINGSRESAN_2025_BJURHOLM/fåglar/Gubbmyran prioriterade fågelarter.docx", "Gubbmyran")</f>
        <v/>
      </c>
    </row>
    <row r="37" ht="15" customHeight="1">
      <c r="A37" t="inlineStr">
        <is>
          <t>Kälkåsen</t>
        </is>
      </c>
      <c r="B37" t="inlineStr">
        <is>
          <t>avverkningsanmälan</t>
        </is>
      </c>
      <c r="D37" s="1" t="n">
        <v>46218</v>
      </c>
      <c r="E37" s="1" t="n">
        <v>46218</v>
      </c>
      <c r="F37" t="inlineStr"/>
      <c r="G37" t="inlineStr">
        <is>
          <t>Bjurholm</t>
        </is>
      </c>
      <c r="H37" t="inlineStr">
        <is>
          <t>SCA</t>
        </is>
      </c>
      <c r="I37" t="n">
        <v>58.4</v>
      </c>
      <c r="J37" t="n">
        <v>2</v>
      </c>
      <c r="K37" t="n">
        <v>3</v>
      </c>
      <c r="L37" t="n">
        <v>7</v>
      </c>
      <c r="M37" t="n">
        <v>4</v>
      </c>
      <c r="N37" t="n">
        <v>0</v>
      </c>
      <c r="O37" t="n">
        <v>0</v>
      </c>
      <c r="P37" t="n">
        <v>0</v>
      </c>
      <c r="Q37" t="n">
        <v>11</v>
      </c>
      <c r="R37" t="n">
        <v>4</v>
      </c>
      <c r="S37" t="n">
        <v>14</v>
      </c>
      <c r="T37" t="n">
        <v>32</v>
      </c>
      <c r="U37" s="2" t="inlineStr">
        <is>
          <t>Fläckporing
Garnlav
Gräddporing
Knärot
Dropptaggsvamp
Dvärgbägarlav
Gammelgransskål
Lunglav
Skarp dropptaggsvamp
Tretåig hackspett
Vedskivlav
Luddlav
Stuplav
Vedticka</t>
        </is>
      </c>
      <c r="V37">
        <f>HYPERLINK("https://klasma.github.io/Logging_FORSKNINGSRESAN_2025_BJURHOLM/artfynd/Kälkåsen artfynd.xlsx", "Kälkåsen")</f>
        <v/>
      </c>
      <c r="W37">
        <f>HYPERLINK("https://klasma.github.io/Logging_FORSKNINGSRESAN_2025_BJURHOLM/kartor/Kälkåsen karta.png", "Kälkåsen")</f>
        <v/>
      </c>
      <c r="X37">
        <f>HYPERLINK("https://klasma.github.io/Logging_FORSKNINGSRESAN_2025_BJURHOLM/knärot/Kälkåsen karta knärot.png", "Kälkåsen")</f>
        <v/>
      </c>
      <c r="Y37">
        <f>HYPERLINK("https://klasma.github.io/Logging_FORSKNINGSRESAN_2025_BJURHOLM/klagomål/Kälkåsen FSC-klagomål.docx", "Kälkåsen")</f>
        <v/>
      </c>
      <c r="Z37">
        <f>HYPERLINK("https://klasma.github.io/Logging_FORSKNINGSRESAN_2025_BJURHOLM/klagomålsmail/Kälkåsen FSC-klagomål mail.docx", "Kälkåsen")</f>
        <v/>
      </c>
      <c r="AA37">
        <f>HYPERLINK("https://klasma.github.io/Logging_FORSKNINGSRESAN_2025_BJURHOLM/tillsyn/Kälkåsen tillsynsbegäran.docx", "Kälkåsen")</f>
        <v/>
      </c>
      <c r="AB37">
        <f>HYPERLINK("https://klasma.github.io/Logging_FORSKNINGSRESAN_2025_BJURHOLM/tillsynsmail/Kälkåsen tillsynsbegäran mail.docx", "Kälkåsen")</f>
        <v/>
      </c>
      <c r="AC37">
        <f>HYPERLINK("https://klasma.github.io/Logging_FORSKNINGSRESAN_2025_BJURHOLM/fåglar/Kälkåsen prioriterade fågelarter.docx", "Kälkåsen")</f>
        <v/>
      </c>
    </row>
    <row r="38" ht="15" customHeight="1">
      <c r="A38" t="inlineStr">
        <is>
          <t>Björnberget N</t>
        </is>
      </c>
      <c r="B38" t="inlineStr">
        <is>
          <t>avverkningsanmälan</t>
        </is>
      </c>
      <c r="D38" s="1" t="n">
        <v>46218</v>
      </c>
      <c r="E38" s="1" t="n">
        <v>46218</v>
      </c>
      <c r="F38" t="inlineStr"/>
      <c r="G38" t="inlineStr">
        <is>
          <t>Bjurholm</t>
        </is>
      </c>
      <c r="H38" t="inlineStr">
        <is>
          <t>SCA</t>
        </is>
      </c>
      <c r="I38" t="n">
        <v>29.2</v>
      </c>
      <c r="J38" t="n">
        <v>0</v>
      </c>
      <c r="K38" t="n">
        <v>3</v>
      </c>
      <c r="L38" t="n">
        <v>8</v>
      </c>
      <c r="M38" t="n">
        <v>3</v>
      </c>
      <c r="N38" t="n">
        <v>0</v>
      </c>
      <c r="O38" t="n">
        <v>0</v>
      </c>
      <c r="P38" t="n">
        <v>0</v>
      </c>
      <c r="Q38" t="n">
        <v>11</v>
      </c>
      <c r="R38" t="n">
        <v>3</v>
      </c>
      <c r="S38" t="n">
        <v>14</v>
      </c>
      <c r="T38" t="n">
        <v>22</v>
      </c>
      <c r="U38" s="2" t="inlineStr">
        <is>
          <t>Garnlav
Gräddporing
Skrovlig taggsvamp
Blå taggsvamp
Dropptaggsvamp
Dvärgbägarlav
Lunglav
Reliktbock
Vedskivlav
Vedtrappmossa
Violettgrå tagellav
Mörk husmossa
Norrlandslav
Vedticka</t>
        </is>
      </c>
      <c r="V38">
        <f>HYPERLINK("https://klasma.github.io/Logging_FORSKNINGSRESAN_2025_BJURHOLM/artfynd/Björnberget N artfynd.xlsx", "Björnberget N")</f>
        <v/>
      </c>
      <c r="W38">
        <f>HYPERLINK("https://klasma.github.io/Logging_FORSKNINGSRESAN_2025_BJURHOLM/kartor/Björnberget N karta.png", "Björnberget N")</f>
        <v/>
      </c>
      <c r="Y38">
        <f>HYPERLINK("https://klasma.github.io/Logging_FORSKNINGSRESAN_2025_BJURHOLM/klagomål/Björnberget N FSC-klagomål.docx", "Björnberget N")</f>
        <v/>
      </c>
      <c r="Z38">
        <f>HYPERLINK("https://klasma.github.io/Logging_FORSKNINGSRESAN_2025_BJURHOLM/klagomålsmail/Björnberget N FSC-klagomål mail.docx", "Björnberget N")</f>
        <v/>
      </c>
      <c r="AA38">
        <f>HYPERLINK("https://klasma.github.io/Logging_FORSKNINGSRESAN_2025_BJURHOLM/tillsyn/Björnberget N tillsynsbegäran.docx", "Björnberget N")</f>
        <v/>
      </c>
      <c r="AB38">
        <f>HYPERLINK("https://klasma.github.io/Logging_FORSKNINGSRESAN_2025_BJURHOLM/tillsynsmail/Björnberget N tillsynsbegäran mail.docx", "Björnberget N")</f>
        <v/>
      </c>
    </row>
    <row r="39" ht="15" customHeight="1">
      <c r="A39" t="inlineStr">
        <is>
          <t>Trollberget</t>
        </is>
      </c>
      <c r="B39" t="inlineStr">
        <is>
          <t>avverkningsanmälan</t>
        </is>
      </c>
      <c r="D39" s="1" t="n">
        <v>46218</v>
      </c>
      <c r="E39" s="1" t="n">
        <v>46218</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Y39">
        <f>HYPERLINK("https://klasma.github.io/Logging_FORSKNINGSRESAN_2025_BJURHOLM/klagomål/Trollberget FSC-klagomål.docx", "Trollberget")</f>
        <v/>
      </c>
      <c r="Z39">
        <f>HYPERLINK("https://klasma.github.io/Logging_FORSKNINGSRESAN_2025_BJURHOLM/klagomålsmail/Trollberget FSC-klagomål mail.docx", "Trollberget")</f>
        <v/>
      </c>
      <c r="AA39">
        <f>HYPERLINK("https://klasma.github.io/Logging_FORSKNINGSRESAN_2025_BJURHOLM/tillsyn/Trollberget tillsynsbegäran.docx", "Trollberget")</f>
        <v/>
      </c>
      <c r="AB39">
        <f>HYPERLINK("https://klasma.github.io/Logging_FORSKNINGSRESAN_2025_BJURHOLM/tillsynsmail/Trollberget tillsynsbegäran mail.docx", "Trollberget")</f>
        <v/>
      </c>
    </row>
    <row r="40" ht="15" customHeight="1">
      <c r="A40" t="inlineStr">
        <is>
          <t>Stensjöåsen</t>
        </is>
      </c>
      <c r="B40" t="inlineStr">
        <is>
          <t>avverkningsanmälan</t>
        </is>
      </c>
      <c r="D40" s="1" t="n">
        <v>46218</v>
      </c>
      <c r="E40" s="1" t="n">
        <v>46218</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Y40">
        <f>HYPERLINK("https://klasma.github.io/Logging_FORSKNINGSRESAN_2025_BJURHOLM/klagomål/Stensjöåsen FSC-klagomål.docx", "Stensjöåsen")</f>
        <v/>
      </c>
      <c r="Z40">
        <f>HYPERLINK("https://klasma.github.io/Logging_FORSKNINGSRESAN_2025_BJURHOLM/klagomålsmail/Stensjöåsen FSC-klagomål mail.docx", "Stensjöåsen")</f>
        <v/>
      </c>
      <c r="AA40">
        <f>HYPERLINK("https://klasma.github.io/Logging_FORSKNINGSRESAN_2025_BJURHOLM/tillsyn/Stensjöåsen tillsynsbegäran.docx", "Stensjöåsen")</f>
        <v/>
      </c>
      <c r="AB40">
        <f>HYPERLINK("https://klasma.github.io/Logging_FORSKNINGSRESAN_2025_BJURHOLM/tillsynsmail/Stensjöåsen tillsynsbegäran mail.docx", "Stensjöåsen")</f>
        <v/>
      </c>
    </row>
    <row r="41" ht="15" customHeight="1">
      <c r="A41" t="inlineStr">
        <is>
          <t>Stor-Svartliden</t>
        </is>
      </c>
      <c r="B41" t="inlineStr">
        <is>
          <t>avverkningsanmälan</t>
        </is>
      </c>
      <c r="D41" s="1" t="n">
        <v>46218</v>
      </c>
      <c r="E41" s="1" t="n">
        <v>46218</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Y41">
        <f>HYPERLINK("https://klasma.github.io/Logging_FORSKNINGSRESAN_2025_BJURHOLM/klagomål/Stor-Svartliden FSC-klagomål.docx", "Stor-Svartliden")</f>
        <v/>
      </c>
      <c r="Z41">
        <f>HYPERLINK("https://klasma.github.io/Logging_FORSKNINGSRESAN_2025_BJURHOLM/klagomålsmail/Stor-Svartliden FSC-klagomål mail.docx", "Stor-Svartliden")</f>
        <v/>
      </c>
      <c r="AA41">
        <f>HYPERLINK("https://klasma.github.io/Logging_FORSKNINGSRESAN_2025_BJURHOLM/tillsyn/Stor-Svartliden tillsynsbegäran.docx", "Stor-Svartliden")</f>
        <v/>
      </c>
      <c r="AB41">
        <f>HYPERLINK("https://klasma.github.io/Logging_FORSKNINGSRESAN_2025_BJURHOLM/tillsynsmail/Stor-Svartliden tillsynsbegäran mail.docx", "Stor-Svartliden")</f>
        <v/>
      </c>
    </row>
    <row r="42" ht="15" customHeight="1">
      <c r="A42" t="inlineStr">
        <is>
          <t>Blåbergssjön</t>
        </is>
      </c>
      <c r="B42" t="inlineStr">
        <is>
          <t>avverkningsanmälan</t>
        </is>
      </c>
      <c r="D42" s="1" t="n">
        <v>46218</v>
      </c>
      <c r="E42" s="1" t="n">
        <v>46218</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Y42">
        <f>HYPERLINK("https://klasma.github.io/Logging_FORSKNINGSRESAN_2025_BJURHOLM/klagomål/Blåbergssjön FSC-klagomål.docx", "Blåbergssjön")</f>
        <v/>
      </c>
      <c r="Z42">
        <f>HYPERLINK("https://klasma.github.io/Logging_FORSKNINGSRESAN_2025_BJURHOLM/klagomålsmail/Blåbergssjön FSC-klagomål mail.docx", "Blåbergssjön")</f>
        <v/>
      </c>
      <c r="AA42">
        <f>HYPERLINK("https://klasma.github.io/Logging_FORSKNINGSRESAN_2025_BJURHOLM/tillsyn/Blåbergssjön tillsynsbegäran.docx", "Blåbergssjön")</f>
        <v/>
      </c>
      <c r="AB42">
        <f>HYPERLINK("https://klasma.github.io/Logging_FORSKNINGSRESAN_2025_BJURHOLM/tillsynsmail/Blåbergssjön tillsynsbegäran mail.docx", "Blåbergssjön")</f>
        <v/>
      </c>
    </row>
    <row r="43" ht="15" customHeight="1">
      <c r="A43" t="inlineStr">
        <is>
          <t>Gåstjärnen</t>
        </is>
      </c>
      <c r="B43" t="inlineStr">
        <is>
          <t>avverkningsanmälan</t>
        </is>
      </c>
      <c r="D43" s="1" t="n">
        <v>46218</v>
      </c>
      <c r="E43" s="1" t="n">
        <v>46218</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HYPERLINK("https://klasma.github.io/Logging_FORSKNINGSRESAN_2025_BJURHOLM/knärot/Gåstjärnen karta knärot.png", "Gåstjärnen")</f>
        <v/>
      </c>
      <c r="Y43">
        <f>HYPERLINK("https://klasma.github.io/Logging_FORSKNINGSRESAN_2025_BJURHOLM/klagomål/Gåstjärnen FSC-klagomål.docx", "Gåstjärnen")</f>
        <v/>
      </c>
      <c r="Z43">
        <f>HYPERLINK("https://klasma.github.io/Logging_FORSKNINGSRESAN_2025_BJURHOLM/klagomålsmail/Gåstjärnen FSC-klagomål mail.docx", "Gåstjärnen")</f>
        <v/>
      </c>
      <c r="AA43">
        <f>HYPERLINK("https://klasma.github.io/Logging_FORSKNINGSRESAN_2025_BJURHOLM/tillsyn/Gåstjärnen tillsynsbegäran.docx", "Gåstjärnen")</f>
        <v/>
      </c>
      <c r="AB43">
        <f>HYPERLINK("https://klasma.github.io/Logging_FORSKNINGSRESAN_2025_BJURHOLM/tillsynsmail/Gåstjärnen tillsynsbegäran mail.docx", "Gåstjärnen")</f>
        <v/>
      </c>
    </row>
    <row r="44" ht="15" customHeight="1">
      <c r="A44" t="inlineStr">
        <is>
          <t>Stornäsholmen</t>
        </is>
      </c>
      <c r="B44" t="inlineStr">
        <is>
          <t>avverkningsanmälan</t>
        </is>
      </c>
      <c r="D44" s="1" t="n">
        <v>46218</v>
      </c>
      <c r="E44" s="1" t="n">
        <v>46218</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Y44">
        <f>HYPERLINK("https://klasma.github.io/Logging_FORSKNINGSRESAN_2025_BJURHOLM/klagomål/Stornäsholmen FSC-klagomål.docx", "Stornäsholmen")</f>
        <v/>
      </c>
      <c r="Z44">
        <f>HYPERLINK("https://klasma.github.io/Logging_FORSKNINGSRESAN_2025_BJURHOLM/klagomålsmail/Stornäsholmen FSC-klagomål mail.docx", "Stornäsholmen")</f>
        <v/>
      </c>
      <c r="AA44">
        <f>HYPERLINK("https://klasma.github.io/Logging_FORSKNINGSRESAN_2025_BJURHOLM/tillsyn/Stornäsholmen tillsynsbegäran.docx", "Stornäsholmen")</f>
        <v/>
      </c>
      <c r="AB44">
        <f>HYPERLINK("https://klasma.github.io/Logging_FORSKNINGSRESAN_2025_BJURHOLM/tillsynsmail/Stornäsholmen tillsynsbegäran mail.docx", "Stornäsholmen")</f>
        <v/>
      </c>
    </row>
    <row r="45" ht="15" customHeight="1">
      <c r="A45" t="inlineStr">
        <is>
          <t>Käringberget SO</t>
        </is>
      </c>
      <c r="B45" t="inlineStr">
        <is>
          <t>avverkningsanmälan</t>
        </is>
      </c>
      <c r="D45" s="1" t="n">
        <v>46218</v>
      </c>
      <c r="E45" s="1" t="n">
        <v>46218</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Y45">
        <f>HYPERLINK("https://klasma.github.io/Logging_FORSKNINGSRESAN_2025_BJURHOLM/klagomål/Käringberget SO FSC-klagomål.docx", "Käringberget SO")</f>
        <v/>
      </c>
      <c r="Z45">
        <f>HYPERLINK("https://klasma.github.io/Logging_FORSKNINGSRESAN_2025_BJURHOLM/klagomålsmail/Käringberget SO FSC-klagomål mail.docx", "Käringberget SO")</f>
        <v/>
      </c>
      <c r="AA45">
        <f>HYPERLINK("https://klasma.github.io/Logging_FORSKNINGSRESAN_2025_BJURHOLM/tillsyn/Käringberget SO tillsynsbegäran.docx", "Käringberget SO")</f>
        <v/>
      </c>
      <c r="AB45">
        <f>HYPERLINK("https://klasma.github.io/Logging_FORSKNINGSRESAN_2025_BJURHOLM/tillsynsmail/Käringberget SO tillsynsbegäran mail.docx", "Käringberget SO")</f>
        <v/>
      </c>
    </row>
    <row r="46" ht="15" customHeight="1">
      <c r="A46" t="inlineStr">
        <is>
          <t>Tosktjärnberget</t>
        </is>
      </c>
      <c r="B46" t="inlineStr">
        <is>
          <t>avverkningsanmälan</t>
        </is>
      </c>
      <c r="D46" s="1" t="n">
        <v>46218</v>
      </c>
      <c r="E46" s="1" t="n">
        <v>46218</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Y46">
        <f>HYPERLINK("https://klasma.github.io/Logging_FORSKNINGSRESAN_2025_BJURHOLM/klagomål/Tosktjärnberget FSC-klagomål.docx", "Tosktjärnberget")</f>
        <v/>
      </c>
      <c r="Z46">
        <f>HYPERLINK("https://klasma.github.io/Logging_FORSKNINGSRESAN_2025_BJURHOLM/klagomålsmail/Tosktjärnberget FSC-klagomål mail.docx", "Tosktjärnberget")</f>
        <v/>
      </c>
      <c r="AA46">
        <f>HYPERLINK("https://klasma.github.io/Logging_FORSKNINGSRESAN_2025_BJURHOLM/tillsyn/Tosktjärnberget tillsynsbegäran.docx", "Tosktjärnberget")</f>
        <v/>
      </c>
      <c r="AB46">
        <f>HYPERLINK("https://klasma.github.io/Logging_FORSKNINGSRESAN_2025_BJURHOLM/tillsynsmail/Tosktjärnberget tillsynsbegäran mail.docx", "Tosktjärnberget")</f>
        <v/>
      </c>
    </row>
    <row r="47" ht="15" customHeight="1">
      <c r="A47" t="inlineStr">
        <is>
          <t>Lill-Smaltjärnen</t>
        </is>
      </c>
      <c r="B47" t="inlineStr">
        <is>
          <t>avverkningsanmälan</t>
        </is>
      </c>
      <c r="D47" s="1" t="n">
        <v>46218</v>
      </c>
      <c r="E47" s="1" t="n">
        <v>46218</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Y47">
        <f>HYPERLINK("https://klasma.github.io/Logging_FORSKNINGSRESAN_2025_BJURHOLM/klagomål/Lill-Smaltjärnen FSC-klagomål.docx", "Lill-Smaltjärnen")</f>
        <v/>
      </c>
      <c r="Z47">
        <f>HYPERLINK("https://klasma.github.io/Logging_FORSKNINGSRESAN_2025_BJURHOLM/klagomålsmail/Lill-Smaltjärnen FSC-klagomål mail.docx", "Lill-Smaltjärnen")</f>
        <v/>
      </c>
      <c r="AA47">
        <f>HYPERLINK("https://klasma.github.io/Logging_FORSKNINGSRESAN_2025_BJURHOLM/tillsyn/Lill-Smaltjärnen tillsynsbegäran.docx", "Lill-Smaltjärnen")</f>
        <v/>
      </c>
      <c r="AB47">
        <f>HYPERLINK("https://klasma.github.io/Logging_FORSKNINGSRESAN_2025_BJURHOLM/tillsynsmail/Lill-Smaltjärnen tillsynsbegäran mail.docx", "Lill-Smaltjärnen")</f>
        <v/>
      </c>
    </row>
    <row r="48" ht="15" customHeight="1">
      <c r="A48" t="inlineStr">
        <is>
          <t>Alingsås</t>
        </is>
      </c>
      <c r="B48" t="inlineStr">
        <is>
          <t>avverkningsanmälan</t>
        </is>
      </c>
      <c r="D48" s="1" t="n">
        <v>46218</v>
      </c>
      <c r="E48" s="1" t="n">
        <v>46218</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Y48">
        <f>HYPERLINK("https://klasma.github.io/Logging_FORSKNINGSRESAN_2025_BJURHOLM/klagomål/Alingsås FSC-klagomål.docx", "Alingsås")</f>
        <v/>
      </c>
      <c r="Z48">
        <f>HYPERLINK("https://klasma.github.io/Logging_FORSKNINGSRESAN_2025_BJURHOLM/klagomålsmail/Alingsås FSC-klagomål mail.docx", "Alingsås")</f>
        <v/>
      </c>
      <c r="AA48">
        <f>HYPERLINK("https://klasma.github.io/Logging_FORSKNINGSRESAN_2025_BJURHOLM/tillsyn/Alingsås tillsynsbegäran.docx", "Alingsås")</f>
        <v/>
      </c>
      <c r="AB48">
        <f>HYPERLINK("https://klasma.github.io/Logging_FORSKNINGSRESAN_2025_BJURHOLM/tillsynsmail/Alingsås tillsynsbegäran mail.docx", "Alingsås")</f>
        <v/>
      </c>
    </row>
    <row r="49" ht="15" customHeight="1">
      <c r="A49" t="inlineStr">
        <is>
          <t>Norrnäs</t>
        </is>
      </c>
      <c r="B49" t="inlineStr">
        <is>
          <t>avverkningsanmälan</t>
        </is>
      </c>
      <c r="D49" s="1" t="n">
        <v>46218</v>
      </c>
      <c r="E49" s="1" t="n">
        <v>46218</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Y49">
        <f>HYPERLINK("https://klasma.github.io/Logging_FORSKNINGSRESAN_2025_BJURHOLM/klagomål/Norrnäs FSC-klagomål.docx", "Norrnäs")</f>
        <v/>
      </c>
      <c r="Z49">
        <f>HYPERLINK("https://klasma.github.io/Logging_FORSKNINGSRESAN_2025_BJURHOLM/klagomålsmail/Norrnäs FSC-klagomål mail.docx", "Norrnäs")</f>
        <v/>
      </c>
      <c r="AA49">
        <f>HYPERLINK("https://klasma.github.io/Logging_FORSKNINGSRESAN_2025_BJURHOLM/tillsyn/Norrnäs tillsynsbegäran.docx", "Norrnäs")</f>
        <v/>
      </c>
      <c r="AB49">
        <f>HYPERLINK("https://klasma.github.io/Logging_FORSKNINGSRESAN_2025_BJURHOLM/tillsynsmail/Norrnäs tillsynsbegäran mail.docx", "Norrnäs")</f>
        <v/>
      </c>
    </row>
    <row r="50" ht="15" customHeight="1">
      <c r="A50" t="inlineStr">
        <is>
          <t>Vitstensberget V</t>
        </is>
      </c>
      <c r="B50" t="inlineStr">
        <is>
          <t>avverkningsanmälan</t>
        </is>
      </c>
      <c r="D50" s="1" t="n">
        <v>46218</v>
      </c>
      <c r="E50" s="1" t="n">
        <v>46218</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Y50">
        <f>HYPERLINK("https://klasma.github.io/Logging_FORSKNINGSRESAN_2025_BJURHOLM/klagomål/Vitstensberget V FSC-klagomål.docx", "Vitstensberget V")</f>
        <v/>
      </c>
      <c r="Z50">
        <f>HYPERLINK("https://klasma.github.io/Logging_FORSKNINGSRESAN_2025_BJURHOLM/klagomålsmail/Vitstensberget V FSC-klagomål mail.docx", "Vitstensberget V")</f>
        <v/>
      </c>
      <c r="AA50">
        <f>HYPERLINK("https://klasma.github.io/Logging_FORSKNINGSRESAN_2025_BJURHOLM/tillsyn/Vitstensberget V tillsynsbegäran.docx", "Vitstensberget V")</f>
        <v/>
      </c>
      <c r="AB50">
        <f>HYPERLINK("https://klasma.github.io/Logging_FORSKNINGSRESAN_2025_BJURHOLM/tillsynsmail/Vitstensberget V tillsynsbegäran mail.docx", "Vitstensberget V")</f>
        <v/>
      </c>
    </row>
    <row r="51" ht="15" customHeight="1">
      <c r="A51" t="inlineStr">
        <is>
          <t>Lubbliden</t>
        </is>
      </c>
      <c r="B51" t="inlineStr">
        <is>
          <t>avverkningsanmälan</t>
        </is>
      </c>
      <c r="D51" s="1" t="n">
        <v>46218</v>
      </c>
      <c r="E51" s="1" t="n">
        <v>46218</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Y51">
        <f>HYPERLINK("https://klasma.github.io/Logging_FORSKNINGSRESAN_2025_BJURHOLM/klagomål/Lubbliden FSC-klagomål.docx", "Lubbliden")</f>
        <v/>
      </c>
      <c r="Z51">
        <f>HYPERLINK("https://klasma.github.io/Logging_FORSKNINGSRESAN_2025_BJURHOLM/klagomålsmail/Lubbliden FSC-klagomål mail.docx", "Lubbliden")</f>
        <v/>
      </c>
      <c r="AA51">
        <f>HYPERLINK("https://klasma.github.io/Logging_FORSKNINGSRESAN_2025_BJURHOLM/tillsyn/Lubbliden tillsynsbegäran.docx", "Lubbliden")</f>
        <v/>
      </c>
      <c r="AB51">
        <f>HYPERLINK("https://klasma.github.io/Logging_FORSKNINGSRESAN_2025_BJURHOLM/tillsynsmail/Lubbliden tillsynsbegäran mail.docx", "Lubbliden")</f>
        <v/>
      </c>
      <c r="AC51">
        <f>HYPERLINK("https://klasma.github.io/Logging_FORSKNINGSRESAN_2025_BJURHOLM/fåglar/Lubbliden prioriterade fågelarter.docx", "Lubbliden")</f>
        <v/>
      </c>
    </row>
    <row r="52" ht="15" customHeight="1">
      <c r="A52" t="inlineStr">
        <is>
          <t>Lögdeälven</t>
        </is>
      </c>
      <c r="B52" t="inlineStr">
        <is>
          <t>avverkningsanmälan</t>
        </is>
      </c>
      <c r="D52" s="1" t="n">
        <v>46218</v>
      </c>
      <c r="E52" s="1" t="n">
        <v>46218</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Y52">
        <f>HYPERLINK("https://klasma.github.io/Logging_FORSKNINGSRESAN_2025_BJURHOLM/klagomål/Lögdeälven FSC-klagomål.docx", "Lögdeälven")</f>
        <v/>
      </c>
      <c r="Z52">
        <f>HYPERLINK("https://klasma.github.io/Logging_FORSKNINGSRESAN_2025_BJURHOLM/klagomålsmail/Lögdeälven FSC-klagomål mail.docx", "Lögdeälven")</f>
        <v/>
      </c>
      <c r="AA52">
        <f>HYPERLINK("https://klasma.github.io/Logging_FORSKNINGSRESAN_2025_BJURHOLM/tillsyn/Lögdeälven tillsynsbegäran.docx", "Lögdeälven")</f>
        <v/>
      </c>
      <c r="AB52">
        <f>HYPERLINK("https://klasma.github.io/Logging_FORSKNINGSRESAN_2025_BJURHOLM/tillsynsmail/Lögdeälven tillsynsbegäran mail.docx", "Lögdeälven")</f>
        <v/>
      </c>
    </row>
    <row r="53" ht="15" customHeight="1">
      <c r="A53" t="inlineStr">
        <is>
          <t>Lustigbacken</t>
        </is>
      </c>
      <c r="B53" t="inlineStr">
        <is>
          <t>avverkningsanmälan</t>
        </is>
      </c>
      <c r="D53" s="1" t="n">
        <v>46218</v>
      </c>
      <c r="E53" s="1" t="n">
        <v>46218</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Y53">
        <f>HYPERLINK("https://klasma.github.io/Logging_FORSKNINGSRESAN_2025_BJURHOLM/klagomål/Lustigbacken FSC-klagomål.docx", "Lustigbacken")</f>
        <v/>
      </c>
      <c r="Z53">
        <f>HYPERLINK("https://klasma.github.io/Logging_FORSKNINGSRESAN_2025_BJURHOLM/klagomålsmail/Lustigbacken FSC-klagomål mail.docx", "Lustigbacken")</f>
        <v/>
      </c>
      <c r="AA53">
        <f>HYPERLINK("https://klasma.github.io/Logging_FORSKNINGSRESAN_2025_BJURHOLM/tillsyn/Lustigbacken tillsynsbegäran.docx", "Lustigbacken")</f>
        <v/>
      </c>
      <c r="AB53">
        <f>HYPERLINK("https://klasma.github.io/Logging_FORSKNINGSRESAN_2025_BJURHOLM/tillsynsmail/Lustigbacken tillsynsbegäran mail.docx", "Lustigbacken")</f>
        <v/>
      </c>
    </row>
    <row r="54" ht="15" customHeight="1">
      <c r="A54" t="inlineStr">
        <is>
          <t>Tomasmyren SO</t>
        </is>
      </c>
      <c r="B54" t="inlineStr">
        <is>
          <t>avverkningsanmälan</t>
        </is>
      </c>
      <c r="D54" s="1" t="n">
        <v>46218</v>
      </c>
      <c r="E54" s="1" t="n">
        <v>46218</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Y54">
        <f>HYPERLINK("https://klasma.github.io/Logging_FORSKNINGSRESAN_2025_BJURHOLM/klagomål/Tomasmyren SO FSC-klagomål.docx", "Tomasmyren SO")</f>
        <v/>
      </c>
      <c r="Z54">
        <f>HYPERLINK("https://klasma.github.io/Logging_FORSKNINGSRESAN_2025_BJURHOLM/klagomålsmail/Tomasmyren SO FSC-klagomål mail.docx", "Tomasmyren SO")</f>
        <v/>
      </c>
      <c r="AA54">
        <f>HYPERLINK("https://klasma.github.io/Logging_FORSKNINGSRESAN_2025_BJURHOLM/tillsyn/Tomasmyren SO tillsynsbegäran.docx", "Tomasmyren SO")</f>
        <v/>
      </c>
      <c r="AB54">
        <f>HYPERLINK("https://klasma.github.io/Logging_FORSKNINGSRESAN_2025_BJURHOLM/tillsynsmail/Tomasmyren SO tillsynsbegäran mail.docx", "Tomasmyren SO")</f>
        <v/>
      </c>
    </row>
    <row r="55" ht="15" customHeight="1">
      <c r="A55" t="inlineStr">
        <is>
          <t>Lill-Lögdåberget V</t>
        </is>
      </c>
      <c r="B55" t="inlineStr">
        <is>
          <t>avverkningsanmälan</t>
        </is>
      </c>
      <c r="D55" s="1" t="n">
        <v>46218</v>
      </c>
      <c r="E55" s="1" t="n">
        <v>46218</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Y55">
        <f>HYPERLINK("https://klasma.github.io/Logging_FORSKNINGSRESAN_2025_BJURHOLM/klagomål/Lill-Lögdåberget V FSC-klagomål.docx", "Lill-Lögdåberget V")</f>
        <v/>
      </c>
      <c r="Z55">
        <f>HYPERLINK("https://klasma.github.io/Logging_FORSKNINGSRESAN_2025_BJURHOLM/klagomålsmail/Lill-Lögdåberget V FSC-klagomål mail.docx", "Lill-Lögdåberget V")</f>
        <v/>
      </c>
      <c r="AA55">
        <f>HYPERLINK("https://klasma.github.io/Logging_FORSKNINGSRESAN_2025_BJURHOLM/tillsyn/Lill-Lögdåberget V tillsynsbegäran.docx", "Lill-Lögdåberget V")</f>
        <v/>
      </c>
      <c r="AB55">
        <f>HYPERLINK("https://klasma.github.io/Logging_FORSKNINGSRESAN_2025_BJURHOLM/tillsynsmail/Lill-Lögdåberget V tillsynsbegäran mail.docx", "Lill-Lögdåberget V")</f>
        <v/>
      </c>
    </row>
    <row r="56" ht="15" customHeight="1">
      <c r="A56" t="inlineStr">
        <is>
          <t>Nordmalingstjärnen</t>
        </is>
      </c>
      <c r="B56" t="inlineStr">
        <is>
          <t>avverkningsanmälan</t>
        </is>
      </c>
      <c r="D56" s="1" t="n">
        <v>46218</v>
      </c>
      <c r="E56" s="1" t="n">
        <v>46218</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row>
    <row r="57" ht="15" customHeight="1">
      <c r="A57" t="inlineStr">
        <is>
          <t>Svarttjärnen</t>
        </is>
      </c>
      <c r="B57" t="inlineStr">
        <is>
          <t>avverkningsanmälan</t>
        </is>
      </c>
      <c r="D57" s="1" t="n">
        <v>46218</v>
      </c>
      <c r="E57" s="1" t="n">
        <v>46218</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row>
    <row r="58" ht="15" customHeight="1">
      <c r="A58" t="inlineStr">
        <is>
          <t>Lubbliden 2</t>
        </is>
      </c>
      <c r="B58" t="inlineStr">
        <is>
          <t>avverkningsanmälan</t>
        </is>
      </c>
      <c r="D58" s="1" t="n">
        <v>46218</v>
      </c>
      <c r="E58" s="1" t="n">
        <v>46218</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row>
    <row r="59" ht="15" customHeight="1">
      <c r="A59" t="inlineStr">
        <is>
          <t>Hötjärnberget NORR</t>
        </is>
      </c>
      <c r="B59" t="inlineStr">
        <is>
          <t>avverkningsanmälan</t>
        </is>
      </c>
      <c r="D59" s="1" t="n">
        <v>46218</v>
      </c>
      <c r="E59" s="1" t="n">
        <v>46218</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row>
    <row r="60" ht="15" customHeight="1">
      <c r="A60" t="inlineStr">
        <is>
          <t>Mjösjöberget V</t>
        </is>
      </c>
      <c r="B60" t="inlineStr">
        <is>
          <t>avverkningsanmälan</t>
        </is>
      </c>
      <c r="D60" s="1" t="n">
        <v>46218</v>
      </c>
      <c r="E60" s="1" t="n">
        <v>46218</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row>
    <row r="61" ht="15" customHeight="1">
      <c r="A61" t="inlineStr">
        <is>
          <t>Tomasmyren V</t>
        </is>
      </c>
      <c r="B61" t="inlineStr">
        <is>
          <t>avverkningsanmälan</t>
        </is>
      </c>
      <c r="D61" s="1" t="n">
        <v>46218</v>
      </c>
      <c r="E61" s="1" t="n">
        <v>46218</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row>
    <row r="62" ht="15" customHeight="1">
      <c r="A62" t="inlineStr">
        <is>
          <t>Stor-Bergvattnet</t>
        </is>
      </c>
      <c r="B62" t="inlineStr">
        <is>
          <t>avverkningsanmälan</t>
        </is>
      </c>
      <c r="D62" s="1" t="n">
        <v>46218</v>
      </c>
      <c r="E62" s="1" t="n">
        <v>46218</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row>
    <row r="63" ht="15" customHeight="1">
      <c r="A63" t="inlineStr">
        <is>
          <t>Halvförensbäcken</t>
        </is>
      </c>
      <c r="B63" t="inlineStr">
        <is>
          <t>avverkningsanmälan</t>
        </is>
      </c>
      <c r="D63" s="1" t="n">
        <v>46218</v>
      </c>
      <c r="E63" s="1" t="n">
        <v>46218</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row>
    <row r="64" ht="15" customHeight="1">
      <c r="A64" t="inlineStr">
        <is>
          <t>Åviksskatan</t>
        </is>
      </c>
      <c r="B64" t="inlineStr">
        <is>
          <t>avverkningsanmälan</t>
        </is>
      </c>
      <c r="D64" s="1" t="n">
        <v>46218</v>
      </c>
      <c r="E64" s="1" t="n">
        <v>46218</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row>
    <row r="65">
      <c r="A65" t="inlineStr">
        <is>
          <t>Dalsmyrbäcken</t>
        </is>
      </c>
      <c r="B65" t="inlineStr">
        <is>
          <t>avverkningsanmälan</t>
        </is>
      </c>
      <c r="D65" s="1" t="n">
        <v>46218</v>
      </c>
      <c r="E65" s="1" t="n">
        <v>46218</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2026-07-15T05:23:58Z</dcterms:created>
  <dcterms:modified xmlns:dcterms="http://purl.org/dc/terms/" xmlns:xsi="http://www.w3.org/2001/XMLSchema-instance" xsi:type="dcterms:W3CDTF">2026-07-15T05:23:58Z</dcterms:modified>
</cp:coreProperties>
</file>