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46216</v>
      </c>
      <c r="E2" s="1" t="n">
        <v>46216</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46216</v>
      </c>
      <c r="E3" s="1" t="n">
        <v>46216</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46216</v>
      </c>
      <c r="E4" s="1" t="n">
        <v>46216</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46216</v>
      </c>
      <c r="E5" s="1" t="n">
        <v>46216</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46216</v>
      </c>
      <c r="E6" s="1" t="n">
        <v>46216</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46216</v>
      </c>
      <c r="E7" s="1" t="n">
        <v>46216</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46216</v>
      </c>
      <c r="E8" s="1" t="n">
        <v>46216</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46216</v>
      </c>
      <c r="E9" s="1" t="n">
        <v>46216</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46216</v>
      </c>
      <c r="E10" s="1" t="n">
        <v>46216</v>
      </c>
      <c r="F10" t="inlineStr"/>
      <c r="G10" t="inlineStr">
        <is>
          <t>Bjurholm</t>
        </is>
      </c>
      <c r="H10" t="inlineStr">
        <is>
          <t>Holmen skog AB</t>
        </is>
      </c>
      <c r="I10" t="n">
        <v>121.7</v>
      </c>
      <c r="J10" t="n">
        <v>10</v>
      </c>
      <c r="K10" t="n">
        <v>11</v>
      </c>
      <c r="L10" t="n">
        <v>20</v>
      </c>
      <c r="M10" t="n">
        <v>4</v>
      </c>
      <c r="N10" t="n">
        <v>0</v>
      </c>
      <c r="O10" t="n">
        <v>0</v>
      </c>
      <c r="P10" t="n">
        <v>0</v>
      </c>
      <c r="Q10" t="n">
        <v>24</v>
      </c>
      <c r="R10" t="n">
        <v>4</v>
      </c>
      <c r="S10" t="n">
        <v>39</v>
      </c>
      <c r="T10" t="n">
        <v>189</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46216</v>
      </c>
      <c r="E11" s="1" t="n">
        <v>46216</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46216</v>
      </c>
      <c r="E12" s="1" t="n">
        <v>46216</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46216</v>
      </c>
      <c r="E13" s="1" t="n">
        <v>46216</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46216</v>
      </c>
      <c r="E14" s="1" t="n">
        <v>46216</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46216</v>
      </c>
      <c r="E15" s="1" t="n">
        <v>46216</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46216</v>
      </c>
      <c r="E16" s="1" t="n">
        <v>46216</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46216</v>
      </c>
      <c r="E17" s="1" t="n">
        <v>46216</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46216</v>
      </c>
      <c r="E18" s="1" t="n">
        <v>46216</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46216</v>
      </c>
      <c r="E19" s="1" t="n">
        <v>46216</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46216</v>
      </c>
      <c r="E20" s="1" t="n">
        <v>46216</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46216</v>
      </c>
      <c r="E21" s="1" t="n">
        <v>46216</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46216</v>
      </c>
      <c r="E22" s="1" t="n">
        <v>46216</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46216</v>
      </c>
      <c r="E23" s="1" t="n">
        <v>46216</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46216</v>
      </c>
      <c r="E24" s="1" t="n">
        <v>46216</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46216</v>
      </c>
      <c r="E25" s="1" t="n">
        <v>46216</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46216</v>
      </c>
      <c r="E26" s="1" t="n">
        <v>46216</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46216</v>
      </c>
      <c r="E27" s="1" t="n">
        <v>46216</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NV</t>
        </is>
      </c>
      <c r="B28" t="inlineStr">
        <is>
          <t>avverkningsanmälan</t>
        </is>
      </c>
      <c r="D28" s="1" t="n">
        <v>46216</v>
      </c>
      <c r="E28" s="1" t="n">
        <v>46216</v>
      </c>
      <c r="F28" t="inlineStr"/>
      <c r="G28" t="inlineStr">
        <is>
          <t>Bjurholm</t>
        </is>
      </c>
      <c r="H28" t="inlineStr">
        <is>
          <t>SCA</t>
        </is>
      </c>
      <c r="I28" t="n">
        <v>80.59999999999999</v>
      </c>
      <c r="J28" t="n">
        <v>1</v>
      </c>
      <c r="K28" t="n">
        <v>7</v>
      </c>
      <c r="L28" t="n">
        <v>13</v>
      </c>
      <c r="M28" t="n">
        <v>2</v>
      </c>
      <c r="N28" t="n">
        <v>0</v>
      </c>
      <c r="O28" t="n">
        <v>0</v>
      </c>
      <c r="P28" t="n">
        <v>0</v>
      </c>
      <c r="Q28" t="n">
        <v>15</v>
      </c>
      <c r="R28" t="n">
        <v>2</v>
      </c>
      <c r="S28" t="n">
        <v>22</v>
      </c>
      <c r="T28" t="n">
        <v>55</v>
      </c>
      <c r="U28"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8">
        <f>HYPERLINK("https://klasma.github.io/Logging_FORSKNINGSRESAN_2025_BJURHOLM/artfynd/Björnberget NV artfynd.xlsx", "Björnberget NV")</f>
        <v/>
      </c>
      <c r="W28">
        <f>HYPERLINK("https://klasma.github.io/Logging_FORSKNINGSRESAN_2025_BJURHOLM/kartor/Björnberget NV karta.png", "Björnberget NV")</f>
        <v/>
      </c>
      <c r="Y28">
        <f>HYPERLINK("https://klasma.github.io/Logging_FORSKNINGSRESAN_2025_BJURHOLM/klagomål/Björnberget NV FSC-klagomål.docx", "Björnberget NV")</f>
        <v/>
      </c>
      <c r="Z28">
        <f>HYPERLINK("https://klasma.github.io/Logging_FORSKNINGSRESAN_2025_BJURHOLM/klagomålsmail/Björnberget NV FSC-klagomål mail.docx", "Björnberget NV")</f>
        <v/>
      </c>
      <c r="AA28">
        <f>HYPERLINK("https://klasma.github.io/Logging_FORSKNINGSRESAN_2025_BJURHOLM/tillsyn/Björnberget NV tillsynsbegäran.docx", "Björnberget NV")</f>
        <v/>
      </c>
      <c r="AB28">
        <f>HYPERLINK("https://klasma.github.io/Logging_FORSKNINGSRESAN_2025_BJURHOLM/tillsynsmail/Björnberget NV tillsynsbegäran mail.docx", "Björnberget NV")</f>
        <v/>
      </c>
      <c r="AC28">
        <f>HYPERLINK("https://klasma.github.io/Logging_FORSKNINGSRESAN_2025_BJURHOLM/fåglar/Björnberget NV prioriterade fågelarter.docx", "Björnberget NV")</f>
        <v/>
      </c>
    </row>
    <row r="29" ht="15" customHeight="1">
      <c r="A29" t="inlineStr">
        <is>
          <t>Björnberget SV</t>
        </is>
      </c>
      <c r="B29" t="inlineStr">
        <is>
          <t>avverkningsanmälan</t>
        </is>
      </c>
      <c r="D29" s="1" t="n">
        <v>46216</v>
      </c>
      <c r="E29" s="1" t="n">
        <v>46216</v>
      </c>
      <c r="F29" t="inlineStr"/>
      <c r="G29" t="inlineStr">
        <is>
          <t>Bjurholm</t>
        </is>
      </c>
      <c r="H29" t="inlineStr">
        <is>
          <t>SCA</t>
        </is>
      </c>
      <c r="I29" t="n">
        <v>57.7</v>
      </c>
      <c r="J29" t="n">
        <v>4</v>
      </c>
      <c r="K29" t="n">
        <v>5</v>
      </c>
      <c r="L29" t="n">
        <v>10</v>
      </c>
      <c r="M29" t="n">
        <v>4</v>
      </c>
      <c r="N29" t="n">
        <v>0</v>
      </c>
      <c r="O29" t="n">
        <v>0</v>
      </c>
      <c r="P29" t="n">
        <v>0</v>
      </c>
      <c r="Q29" t="n">
        <v>14</v>
      </c>
      <c r="R29" t="n">
        <v>4</v>
      </c>
      <c r="S29" t="n">
        <v>21</v>
      </c>
      <c r="T29" t="n">
        <v>31</v>
      </c>
      <c r="U29" s="2" t="inlineStr">
        <is>
          <t>Garnlav
Knärot
Liten aspgelélav
Skrovlig taggsvamp
Dropptaggsvamp
Dvärgbägarlav
Gammelgransskål
Göktyta
Lunglav
Mörk kolflarnlav
Nordtagging
Orange taggsvamp
Reliktbock
Älg
Barkticka
Bårdlav
Skinnlav
Stor aspticka
Stuplav
Kungsfågel
Fläcknycklar</t>
        </is>
      </c>
      <c r="V29">
        <f>HYPERLINK("https://klasma.github.io/Logging_FORSKNINGSRESAN_2025_BJURHOLM/artfynd/Björnberget SV artfynd.xlsx", "Björnberget SV")</f>
        <v/>
      </c>
      <c r="W29">
        <f>HYPERLINK("https://klasma.github.io/Logging_FORSKNINGSRESAN_2025_BJURHOLM/kartor/Björnberget SV karta.png", "Björnberget SV")</f>
        <v/>
      </c>
      <c r="X29">
        <f>HYPERLINK("https://klasma.github.io/Logging_FORSKNINGSRESAN_2025_BJURHOLM/knärot/Björnberget SV karta knärot.png", "Björnberget SV")</f>
        <v/>
      </c>
      <c r="Y29">
        <f>HYPERLINK("https://klasma.github.io/Logging_FORSKNINGSRESAN_2025_BJURHOLM/klagomål/Björnberget SV FSC-klagomål.docx", "Björnberget SV")</f>
        <v/>
      </c>
      <c r="Z29">
        <f>HYPERLINK("https://klasma.github.io/Logging_FORSKNINGSRESAN_2025_BJURHOLM/klagomålsmail/Björnberget SV FSC-klagomål mail.docx", "Björnberget SV")</f>
        <v/>
      </c>
      <c r="AA29">
        <f>HYPERLINK("https://klasma.github.io/Logging_FORSKNINGSRESAN_2025_BJURHOLM/tillsyn/Björnberget SV tillsynsbegäran.docx", "Björnberget SV")</f>
        <v/>
      </c>
      <c r="AB29">
        <f>HYPERLINK("https://klasma.github.io/Logging_FORSKNINGSRESAN_2025_BJURHOLM/tillsynsmail/Björnberget SV tillsynsbegäran mail.docx", "Björnberget SV")</f>
        <v/>
      </c>
      <c r="AC29">
        <f>HYPERLINK("https://klasma.github.io/Logging_FORSKNINGSRESAN_2025_BJURHOLM/fåglar/Björnberget SV prioriterade fågelarter.docx", "Björnberget SV")</f>
        <v/>
      </c>
    </row>
    <row r="30" ht="15" customHeight="1">
      <c r="A30" t="inlineStr">
        <is>
          <t>Johannesbomyran</t>
        </is>
      </c>
      <c r="B30" t="inlineStr">
        <is>
          <t>avverkningsanmälan</t>
        </is>
      </c>
      <c r="D30" s="1" t="n">
        <v>46216</v>
      </c>
      <c r="E30" s="1" t="n">
        <v>46216</v>
      </c>
      <c r="F30" t="inlineStr"/>
      <c r="G30" t="inlineStr">
        <is>
          <t>Bjurholm</t>
        </is>
      </c>
      <c r="H30" t="inlineStr">
        <is>
          <t>Holmen skog AB</t>
        </is>
      </c>
      <c r="I30" t="n">
        <v>66.09999999999999</v>
      </c>
      <c r="J30" t="n">
        <v>4</v>
      </c>
      <c r="K30" t="n">
        <v>7</v>
      </c>
      <c r="L30" t="n">
        <v>10</v>
      </c>
      <c r="M30" t="n">
        <v>2</v>
      </c>
      <c r="N30" t="n">
        <v>0</v>
      </c>
      <c r="O30" t="n">
        <v>0</v>
      </c>
      <c r="P30" t="n">
        <v>0</v>
      </c>
      <c r="Q30" t="n">
        <v>12</v>
      </c>
      <c r="R30" t="n">
        <v>2</v>
      </c>
      <c r="S30" t="n">
        <v>20</v>
      </c>
      <c r="T30" t="n">
        <v>132</v>
      </c>
      <c r="U30" s="2" t="inlineStr">
        <is>
          <t>Garnlav
Knärot
Doftskinn
Dropptaggsvamp
Kolflarnlav
Kortskaftad ärgspik
Lunglav
Mörk kolflarnlav
Tallticka
Tretåig hackspett
Vedskivlav
Violettgrå tagellav
Bårdlav
Dvärgtufs
Luddlav
Plattlummer
Skinnlav
Stor aspticka
Stuplav
Ljungpipare</t>
        </is>
      </c>
      <c r="V30">
        <f>HYPERLINK("https://klasma.github.io/Logging_FORSKNINGSRESAN_2025_BJURHOLM/artfynd/Johannesbomyran artfynd.xlsx", "Johannesbomyran")</f>
        <v/>
      </c>
      <c r="W30">
        <f>HYPERLINK("https://klasma.github.io/Logging_FORSKNINGSRESAN_2025_BJURHOLM/kartor/Johannesbomyran karta.png", "Johannesbomyran")</f>
        <v/>
      </c>
      <c r="X30">
        <f>HYPERLINK("https://klasma.github.io/Logging_FORSKNINGSRESAN_2025_BJURHOLM/knärot/Johannesbomyran karta knärot.png", "Johannesbomyran")</f>
        <v/>
      </c>
      <c r="Y30">
        <f>HYPERLINK("https://klasma.github.io/Logging_FORSKNINGSRESAN_2025_BJURHOLM/klagomål/Johannesbomyran FSC-klagomål.docx", "Johannesbomyran")</f>
        <v/>
      </c>
      <c r="Z30">
        <f>HYPERLINK("https://klasma.github.io/Logging_FORSKNINGSRESAN_2025_BJURHOLM/klagomålsmail/Johannesbomyran FSC-klagomål mail.docx", "Johannesbomyran")</f>
        <v/>
      </c>
      <c r="AA30">
        <f>HYPERLINK("https://klasma.github.io/Logging_FORSKNINGSRESAN_2025_BJURHOLM/tillsyn/Johannesbomyran tillsynsbegäran.docx", "Johannesbomyran")</f>
        <v/>
      </c>
      <c r="AB30">
        <f>HYPERLINK("https://klasma.github.io/Logging_FORSKNINGSRESAN_2025_BJURHOLM/tillsynsmail/Johannesbomyran tillsynsbegäran mail.docx", "Johannesbomyran")</f>
        <v/>
      </c>
      <c r="AC30">
        <f>HYPERLINK("https://klasma.github.io/Logging_FORSKNINGSRESAN_2025_BJURHOLM/fåglar/Johannesbomyran prioriterade fågelarter.docx", "Johannesbomyran")</f>
        <v/>
      </c>
    </row>
    <row r="31" ht="15" customHeight="1">
      <c r="A31" t="inlineStr">
        <is>
          <t>Stockbäcken</t>
        </is>
      </c>
      <c r="B31" t="inlineStr">
        <is>
          <t>avverkningsanmälan</t>
        </is>
      </c>
      <c r="D31" s="1" t="n">
        <v>46216</v>
      </c>
      <c r="E31" s="1" t="n">
        <v>46216</v>
      </c>
      <c r="F31" t="inlineStr"/>
      <c r="G31" t="inlineStr">
        <is>
          <t>Bjurholm</t>
        </is>
      </c>
      <c r="H31" t="inlineStr">
        <is>
          <t>SCA</t>
        </is>
      </c>
      <c r="I31" t="n">
        <v>63.2</v>
      </c>
      <c r="J31" t="n">
        <v>1</v>
      </c>
      <c r="K31" t="n">
        <v>3</v>
      </c>
      <c r="L31" t="n">
        <v>12</v>
      </c>
      <c r="M31" t="n">
        <v>4</v>
      </c>
      <c r="N31" t="n">
        <v>0</v>
      </c>
      <c r="O31" t="n">
        <v>0</v>
      </c>
      <c r="P31" t="n">
        <v>0</v>
      </c>
      <c r="Q31" t="n">
        <v>16</v>
      </c>
      <c r="R31" t="n">
        <v>4</v>
      </c>
      <c r="S31" t="n">
        <v>19</v>
      </c>
      <c r="T31" t="n">
        <v>72</v>
      </c>
      <c r="U31" s="2" t="inlineStr">
        <is>
          <t>Aspgelélav
Garnlav
Gränsticka
Lappticka
Blågrå svartspik
Doftskinn
Gammelgransskål
Lavskrika
Lunglav
Mörk kolflarnlav
Rynkskinn
Rödbrun blekspik
Ullticka
Vedflamlav
Vedskivlav
Violettgrå tagellav
Mörk husmossa
Stuplav
Vedticka</t>
        </is>
      </c>
      <c r="V31">
        <f>HYPERLINK("https://klasma.github.io/Logging_FORSKNINGSRESAN_2025_BJURHOLM/artfynd/Stockbäcken artfynd.xlsx", "Stockbäcken")</f>
        <v/>
      </c>
      <c r="W31">
        <f>HYPERLINK("https://klasma.github.io/Logging_FORSKNINGSRESAN_2025_BJURHOLM/kartor/Stockbäcken karta.png", "Stockbäcken")</f>
        <v/>
      </c>
      <c r="Y31">
        <f>HYPERLINK("https://klasma.github.io/Logging_FORSKNINGSRESAN_2025_BJURHOLM/klagomål/Stockbäcken FSC-klagomål.docx", "Stockbäcken")</f>
        <v/>
      </c>
      <c r="Z31">
        <f>HYPERLINK("https://klasma.github.io/Logging_FORSKNINGSRESAN_2025_BJURHOLM/klagomålsmail/Stockbäcken FSC-klagomål mail.docx", "Stockbäcken")</f>
        <v/>
      </c>
      <c r="AA31">
        <f>HYPERLINK("https://klasma.github.io/Logging_FORSKNINGSRESAN_2025_BJURHOLM/tillsyn/Stockbäcken tillsynsbegäran.docx", "Stockbäcken")</f>
        <v/>
      </c>
      <c r="AB31">
        <f>HYPERLINK("https://klasma.github.io/Logging_FORSKNINGSRESAN_2025_BJURHOLM/tillsynsmail/Stockbäcken tillsynsbegäran mail.docx", "Stockbäcken")</f>
        <v/>
      </c>
      <c r="AC31">
        <f>HYPERLINK("https://klasma.github.io/Logging_FORSKNINGSRESAN_2025_BJURHOLM/fåglar/Stockbäcken prioriterade fågelarter.docx", "Stockbäcken")</f>
        <v/>
      </c>
    </row>
    <row r="32" ht="15" customHeight="1">
      <c r="A32" t="inlineStr">
        <is>
          <t>Lögdaselet</t>
        </is>
      </c>
      <c r="B32" t="inlineStr">
        <is>
          <t>avverkningsanmälan</t>
        </is>
      </c>
      <c r="D32" s="1" t="n">
        <v>46216</v>
      </c>
      <c r="E32" s="1" t="n">
        <v>46216</v>
      </c>
      <c r="F32" t="inlineStr"/>
      <c r="G32" t="inlineStr">
        <is>
          <t>Bjurholm</t>
        </is>
      </c>
      <c r="H32" t="inlineStr">
        <is>
          <t>Sveaskog</t>
        </is>
      </c>
      <c r="I32" t="n">
        <v>166.5</v>
      </c>
      <c r="J32" t="n">
        <v>5</v>
      </c>
      <c r="K32" t="n">
        <v>4</v>
      </c>
      <c r="L32" t="n">
        <v>10</v>
      </c>
      <c r="M32" t="n">
        <v>2</v>
      </c>
      <c r="N32" t="n">
        <v>0</v>
      </c>
      <c r="O32" t="n">
        <v>0</v>
      </c>
      <c r="P32" t="n">
        <v>0</v>
      </c>
      <c r="Q32" t="n">
        <v>12</v>
      </c>
      <c r="R32" t="n">
        <v>2</v>
      </c>
      <c r="S32" t="n">
        <v>18</v>
      </c>
      <c r="T32" t="n">
        <v>48</v>
      </c>
      <c r="U32" s="2" t="inlineStr">
        <is>
          <t>Garnlav
Knärot
Blanksvart spiklav
Dvärgbägarlav
Gammelgransskål
Liten svartspik
Lunglav
Mörk kolflarnlav
Tretåig hackspett
Vedflamlav
Vedskivlav
Vitgrynig nållav
Luddlav
Norrlandslav
Spindelblomster
Stuplav
Spillkråka
Fläcknycklar</t>
        </is>
      </c>
      <c r="V32">
        <f>HYPERLINK("https://klasma.github.io/Logging_FORSKNINGSRESAN_2025_BJURHOLM/artfynd/Lögdaselet artfynd.xlsx", "Lögdaselet")</f>
        <v/>
      </c>
      <c r="W32">
        <f>HYPERLINK("https://klasma.github.io/Logging_FORSKNINGSRESAN_2025_BJURHOLM/kartor/Lögdaselet karta.png", "Lögdaselet")</f>
        <v/>
      </c>
      <c r="X32">
        <f>HYPERLINK("https://klasma.github.io/Logging_FORSKNINGSRESAN_2025_BJURHOLM/knärot/Lögdaselet karta knärot.png", "Lögdaselet")</f>
        <v/>
      </c>
      <c r="Y32">
        <f>HYPERLINK("https://klasma.github.io/Logging_FORSKNINGSRESAN_2025_BJURHOLM/klagomål/Lögdaselet FSC-klagomål.docx", "Lögdaselet")</f>
        <v/>
      </c>
      <c r="Z32">
        <f>HYPERLINK("https://klasma.github.io/Logging_FORSKNINGSRESAN_2025_BJURHOLM/klagomålsmail/Lögdaselet FSC-klagomål mail.docx", "Lögdaselet")</f>
        <v/>
      </c>
      <c r="AA32">
        <f>HYPERLINK("https://klasma.github.io/Logging_FORSKNINGSRESAN_2025_BJURHOLM/tillsyn/Lögdaselet tillsynsbegäran.docx", "Lögdaselet")</f>
        <v/>
      </c>
      <c r="AB32">
        <f>HYPERLINK("https://klasma.github.io/Logging_FORSKNINGSRESAN_2025_BJURHOLM/tillsynsmail/Lögdaselet tillsynsbegäran mail.docx", "Lögdaselet")</f>
        <v/>
      </c>
      <c r="AC32">
        <f>HYPERLINK("https://klasma.github.io/Logging_FORSKNINGSRESAN_2025_BJURHOLM/fåglar/Lögdaselet prioriterade fågelarter.docx", "Lögdaselet")</f>
        <v/>
      </c>
    </row>
    <row r="33" ht="15" customHeight="1">
      <c r="A33" t="inlineStr">
        <is>
          <t>Holmtjärnen</t>
        </is>
      </c>
      <c r="B33" t="inlineStr">
        <is>
          <t>avverkningsanmälan</t>
        </is>
      </c>
      <c r="D33" s="1" t="n">
        <v>46216</v>
      </c>
      <c r="E33" s="1" t="n">
        <v>46216</v>
      </c>
      <c r="F33" t="inlineStr"/>
      <c r="G33" t="inlineStr">
        <is>
          <t>Bjurholm</t>
        </is>
      </c>
      <c r="H33" t="inlineStr">
        <is>
          <t>SCA</t>
        </is>
      </c>
      <c r="I33" t="n">
        <v>105.2</v>
      </c>
      <c r="J33" t="n">
        <v>1</v>
      </c>
      <c r="K33" t="n">
        <v>1</v>
      </c>
      <c r="L33" t="n">
        <v>11</v>
      </c>
      <c r="M33" t="n">
        <v>6</v>
      </c>
      <c r="N33" t="n">
        <v>0</v>
      </c>
      <c r="O33" t="n">
        <v>0</v>
      </c>
      <c r="P33" t="n">
        <v>0</v>
      </c>
      <c r="Q33" t="n">
        <v>17</v>
      </c>
      <c r="R33" t="n">
        <v>6</v>
      </c>
      <c r="S33" t="n">
        <v>18</v>
      </c>
      <c r="T33" t="n">
        <v>39</v>
      </c>
      <c r="U33" s="2" t="inlineStr">
        <is>
          <t>Fläckporing
Garnlav
Goliatmusseron
Gräddporing
Gränsticka
Skrovlig taggsvamp
Blå taggsvamp
Dvärgbägarlav
Kolflarnlav
Lunglav
Nordtagging
Reliktbock
Skrovellav
Talltita
Vaddporing
Vedflamlav
Vedskivlav
Bårdlav</t>
        </is>
      </c>
      <c r="V33">
        <f>HYPERLINK("https://klasma.github.io/Logging_FORSKNINGSRESAN_2025_BJURHOLM/artfynd/Holmtjärnen artfynd.xlsx", "Holmtjärnen")</f>
        <v/>
      </c>
      <c r="W33">
        <f>HYPERLINK("https://klasma.github.io/Logging_FORSKNINGSRESAN_2025_BJURHOLM/kartor/Holmtjärnen karta.png", "Holmtjärnen")</f>
        <v/>
      </c>
      <c r="Y33">
        <f>HYPERLINK("https://klasma.github.io/Logging_FORSKNINGSRESAN_2025_BJURHOLM/klagomål/Holmtjärnen FSC-klagomål.docx", "Holmtjärnen")</f>
        <v/>
      </c>
      <c r="Z33">
        <f>HYPERLINK("https://klasma.github.io/Logging_FORSKNINGSRESAN_2025_BJURHOLM/klagomålsmail/Holmtjärnen FSC-klagomål mail.docx", "Holmtjärnen")</f>
        <v/>
      </c>
      <c r="AA33">
        <f>HYPERLINK("https://klasma.github.io/Logging_FORSKNINGSRESAN_2025_BJURHOLM/tillsyn/Holmtjärnen tillsynsbegäran.docx", "Holmtjärnen")</f>
        <v/>
      </c>
      <c r="AB33">
        <f>HYPERLINK("https://klasma.github.io/Logging_FORSKNINGSRESAN_2025_BJURHOLM/tillsynsmail/Holmtjärnen tillsynsbegäran mail.docx", "Holmtjärnen")</f>
        <v/>
      </c>
      <c r="AC33">
        <f>HYPERLINK("https://klasma.github.io/Logging_FORSKNINGSRESAN_2025_BJURHOLM/fåglar/Holmtjärnen prioriterade fågelarter.docx", "Holmtjärnen")</f>
        <v/>
      </c>
    </row>
    <row r="34" ht="15" customHeight="1">
      <c r="A34" t="inlineStr">
        <is>
          <t>Aspmyrbäcken</t>
        </is>
      </c>
      <c r="B34" t="inlineStr">
        <is>
          <t>avverkningsanmälan</t>
        </is>
      </c>
      <c r="D34" s="1" t="n">
        <v>46216</v>
      </c>
      <c r="E34" s="1" t="n">
        <v>46216</v>
      </c>
      <c r="F34" t="inlineStr"/>
      <c r="G34" t="inlineStr">
        <is>
          <t>Bjurholm</t>
        </is>
      </c>
      <c r="H34" t="inlineStr">
        <is>
          <t>Sveaskog</t>
        </is>
      </c>
      <c r="I34" t="n">
        <v>356.4</v>
      </c>
      <c r="J34" t="n">
        <v>2</v>
      </c>
      <c r="K34" t="n">
        <v>5</v>
      </c>
      <c r="L34" t="n">
        <v>9</v>
      </c>
      <c r="M34" t="n">
        <v>3</v>
      </c>
      <c r="N34" t="n">
        <v>0</v>
      </c>
      <c r="O34" t="n">
        <v>0</v>
      </c>
      <c r="P34" t="n">
        <v>0</v>
      </c>
      <c r="Q34" t="n">
        <v>12</v>
      </c>
      <c r="R34" t="n">
        <v>3</v>
      </c>
      <c r="S34" t="n">
        <v>18</v>
      </c>
      <c r="T34" t="n">
        <v>72</v>
      </c>
      <c r="U34" s="2" t="inlineStr">
        <is>
          <t>Garnlav
Lappticka
Ostticka
Doftskinn
Gammelgransskål
Lunglav
Rosenticka
Rynkskinn
Skrovellav
Tretåig hackspett
Ullticka
Violmussling
Bollvitmossa
Skinnlav
Stuplav
Trådticka
Vedticka
Fläcknycklar</t>
        </is>
      </c>
      <c r="V34">
        <f>HYPERLINK("https://klasma.github.io/Logging_FORSKNINGSRESAN_2025_BJURHOLM/artfynd/Aspmyrbäcken artfynd.xlsx", "Aspmyrbäcken")</f>
        <v/>
      </c>
      <c r="W34">
        <f>HYPERLINK("https://klasma.github.io/Logging_FORSKNINGSRESAN_2025_BJURHOLM/kartor/Aspmyrbäcken karta.png", "Aspmyrbäcken")</f>
        <v/>
      </c>
      <c r="Y34">
        <f>HYPERLINK("https://klasma.github.io/Logging_FORSKNINGSRESAN_2025_BJURHOLM/klagomål/Aspmyrbäcken FSC-klagomål.docx", "Aspmyrbäcken")</f>
        <v/>
      </c>
      <c r="Z34">
        <f>HYPERLINK("https://klasma.github.io/Logging_FORSKNINGSRESAN_2025_BJURHOLM/klagomålsmail/Aspmyrbäcken FSC-klagomål mail.docx", "Aspmyrbäcken")</f>
        <v/>
      </c>
      <c r="AA34">
        <f>HYPERLINK("https://klasma.github.io/Logging_FORSKNINGSRESAN_2025_BJURHOLM/tillsyn/Aspmyrbäcken tillsynsbegäran.docx", "Aspmyrbäcken")</f>
        <v/>
      </c>
      <c r="AB34">
        <f>HYPERLINK("https://klasma.github.io/Logging_FORSKNINGSRESAN_2025_BJURHOLM/tillsynsmail/Aspmyrbäcken tillsynsbegäran mail.docx", "Aspmyrbäcken")</f>
        <v/>
      </c>
      <c r="AC34">
        <f>HYPERLINK("https://klasma.github.io/Logging_FORSKNINGSRESAN_2025_BJURHOLM/fåglar/Aspmyrbäcken prioriterade fågelarter.docx", "Aspmyrbäcken")</f>
        <v/>
      </c>
    </row>
    <row r="35" ht="15" customHeight="1">
      <c r="A35" t="inlineStr">
        <is>
          <t>Gubbmyran</t>
        </is>
      </c>
      <c r="B35" t="inlineStr">
        <is>
          <t>avverkningsanmälan</t>
        </is>
      </c>
      <c r="D35" s="1" t="n">
        <v>46216</v>
      </c>
      <c r="E35" s="1" t="n">
        <v>46216</v>
      </c>
      <c r="F35" t="inlineStr"/>
      <c r="G35" t="inlineStr">
        <is>
          <t>Bjurholm</t>
        </is>
      </c>
      <c r="H35" t="inlineStr">
        <is>
          <t>Holmen skog AB</t>
        </is>
      </c>
      <c r="I35" t="n">
        <v>186</v>
      </c>
      <c r="J35" t="n">
        <v>1</v>
      </c>
      <c r="K35" t="n">
        <v>2</v>
      </c>
      <c r="L35" t="n">
        <v>9</v>
      </c>
      <c r="M35" t="n">
        <v>5</v>
      </c>
      <c r="N35" t="n">
        <v>0</v>
      </c>
      <c r="O35" t="n">
        <v>0</v>
      </c>
      <c r="P35" t="n">
        <v>0</v>
      </c>
      <c r="Q35" t="n">
        <v>14</v>
      </c>
      <c r="R35" t="n">
        <v>5</v>
      </c>
      <c r="S35" t="n">
        <v>16</v>
      </c>
      <c r="T35" t="n">
        <v>34</v>
      </c>
      <c r="U35" s="2" t="inlineStr">
        <is>
          <t>Garnlav
Gränsticka
Lappticka
Liten sotlav
Vitskaftad svartspik
Doftskinn
Gammelgransskål
Harticka
Rosenticka
Rynkskinn
Rödbrun blekspik
Tretåig hackspett
Ullticka
Violettgrå tagellav
Blodticka
Trådticka</t>
        </is>
      </c>
      <c r="V35">
        <f>HYPERLINK("https://klasma.github.io/Logging_FORSKNINGSRESAN_2025_BJURHOLM/artfynd/Gubbmyran artfynd.xlsx", "Gubbmyran")</f>
        <v/>
      </c>
      <c r="W35">
        <f>HYPERLINK("https://klasma.github.io/Logging_FORSKNINGSRESAN_2025_BJURHOLM/kartor/Gubbmyran karta.png", "Gubbmyran")</f>
        <v/>
      </c>
      <c r="Y35">
        <f>HYPERLINK("https://klasma.github.io/Logging_FORSKNINGSRESAN_2025_BJURHOLM/klagomål/Gubbmyran FSC-klagomål.docx", "Gubbmyran")</f>
        <v/>
      </c>
      <c r="Z35">
        <f>HYPERLINK("https://klasma.github.io/Logging_FORSKNINGSRESAN_2025_BJURHOLM/klagomålsmail/Gubbmyran FSC-klagomål mail.docx", "Gubbmyran")</f>
        <v/>
      </c>
      <c r="AA35">
        <f>HYPERLINK("https://klasma.github.io/Logging_FORSKNINGSRESAN_2025_BJURHOLM/tillsyn/Gubbmyran tillsynsbegäran.docx", "Gubbmyran")</f>
        <v/>
      </c>
      <c r="AB35">
        <f>HYPERLINK("https://klasma.github.io/Logging_FORSKNINGSRESAN_2025_BJURHOLM/tillsynsmail/Gubbmyran tillsynsbegäran mail.docx", "Gubbmyran")</f>
        <v/>
      </c>
      <c r="AC35">
        <f>HYPERLINK("https://klasma.github.io/Logging_FORSKNINGSRESAN_2025_BJURHOLM/fåglar/Gubbmyran prioriterade fågelarter.docx", "Gubbmyran")</f>
        <v/>
      </c>
    </row>
    <row r="36" ht="15" customHeight="1">
      <c r="A36" t="inlineStr">
        <is>
          <t>Kälkåsen</t>
        </is>
      </c>
      <c r="B36" t="inlineStr">
        <is>
          <t>avverkningsanmälan</t>
        </is>
      </c>
      <c r="D36" s="1" t="n">
        <v>46216</v>
      </c>
      <c r="E36" s="1" t="n">
        <v>46216</v>
      </c>
      <c r="F36" t="inlineStr"/>
      <c r="G36" t="inlineStr">
        <is>
          <t>Bjurholm</t>
        </is>
      </c>
      <c r="H36" t="inlineStr">
        <is>
          <t>SCA</t>
        </is>
      </c>
      <c r="I36" t="n">
        <v>58.4</v>
      </c>
      <c r="J36" t="n">
        <v>2</v>
      </c>
      <c r="K36" t="n">
        <v>3</v>
      </c>
      <c r="L36" t="n">
        <v>7</v>
      </c>
      <c r="M36" t="n">
        <v>4</v>
      </c>
      <c r="N36" t="n">
        <v>0</v>
      </c>
      <c r="O36" t="n">
        <v>0</v>
      </c>
      <c r="P36" t="n">
        <v>0</v>
      </c>
      <c r="Q36" t="n">
        <v>11</v>
      </c>
      <c r="R36" t="n">
        <v>4</v>
      </c>
      <c r="S36" t="n">
        <v>14</v>
      </c>
      <c r="T36" t="n">
        <v>32</v>
      </c>
      <c r="U36" s="2" t="inlineStr">
        <is>
          <t>Fläckporing
Garnlav
Gräddporing
Knärot
Dropptaggsvamp
Dvärgbägarlav
Gammelgransskål
Lunglav
Skarp dropptaggsvamp
Tretåig hackspett
Vedskivlav
Luddlav
Stuplav
Vedticka</t>
        </is>
      </c>
      <c r="V36">
        <f>HYPERLINK("https://klasma.github.io/Logging_FORSKNINGSRESAN_2025_BJURHOLM/artfynd/Kälkåsen artfynd.xlsx", "Kälkåsen")</f>
        <v/>
      </c>
      <c r="W36">
        <f>HYPERLINK("https://klasma.github.io/Logging_FORSKNINGSRESAN_2025_BJURHOLM/kartor/Kälkåsen karta.png", "Kälkåsen")</f>
        <v/>
      </c>
      <c r="X36">
        <f>HYPERLINK("https://klasma.github.io/Logging_FORSKNINGSRESAN_2025_BJURHOLM/knärot/Kälkåsen karta knärot.png", "Kälkåsen")</f>
        <v/>
      </c>
      <c r="Y36">
        <f>HYPERLINK("https://klasma.github.io/Logging_FORSKNINGSRESAN_2025_BJURHOLM/klagomål/Kälkåsen FSC-klagomål.docx", "Kälkåsen")</f>
        <v/>
      </c>
      <c r="Z36">
        <f>HYPERLINK("https://klasma.github.io/Logging_FORSKNINGSRESAN_2025_BJURHOLM/klagomålsmail/Kälkåsen FSC-klagomål mail.docx", "Kälkåsen")</f>
        <v/>
      </c>
      <c r="AA36">
        <f>HYPERLINK("https://klasma.github.io/Logging_FORSKNINGSRESAN_2025_BJURHOLM/tillsyn/Kälkåsen tillsynsbegäran.docx", "Kälkåsen")</f>
        <v/>
      </c>
      <c r="AB36">
        <f>HYPERLINK("https://klasma.github.io/Logging_FORSKNINGSRESAN_2025_BJURHOLM/tillsynsmail/Kälkåsen tillsynsbegäran mail.docx", "Kälkåsen")</f>
        <v/>
      </c>
      <c r="AC36">
        <f>HYPERLINK("https://klasma.github.io/Logging_FORSKNINGSRESAN_2025_BJURHOLM/fåglar/Kälkåsen prioriterade fågelarter.docx", "Kälkåsen")</f>
        <v/>
      </c>
    </row>
    <row r="37" ht="15" customHeight="1">
      <c r="A37" t="inlineStr">
        <is>
          <t>Björnberget N</t>
        </is>
      </c>
      <c r="B37" t="inlineStr">
        <is>
          <t>avverkningsanmälan</t>
        </is>
      </c>
      <c r="D37" s="1" t="n">
        <v>46216</v>
      </c>
      <c r="E37" s="1" t="n">
        <v>46216</v>
      </c>
      <c r="F37" t="inlineStr"/>
      <c r="G37" t="inlineStr">
        <is>
          <t>Bjurholm</t>
        </is>
      </c>
      <c r="H37" t="inlineStr">
        <is>
          <t>SCA</t>
        </is>
      </c>
      <c r="I37" t="n">
        <v>29.2</v>
      </c>
      <c r="J37" t="n">
        <v>0</v>
      </c>
      <c r="K37" t="n">
        <v>3</v>
      </c>
      <c r="L37" t="n">
        <v>8</v>
      </c>
      <c r="M37" t="n">
        <v>3</v>
      </c>
      <c r="N37" t="n">
        <v>0</v>
      </c>
      <c r="O37" t="n">
        <v>0</v>
      </c>
      <c r="P37" t="n">
        <v>0</v>
      </c>
      <c r="Q37" t="n">
        <v>11</v>
      </c>
      <c r="R37" t="n">
        <v>3</v>
      </c>
      <c r="S37" t="n">
        <v>14</v>
      </c>
      <c r="T37" t="n">
        <v>22</v>
      </c>
      <c r="U37" s="2" t="inlineStr">
        <is>
          <t>Garnlav
Gräddporing
Skrovlig taggsvamp
Blå taggsvamp
Dropptaggsvamp
Dvärgbägarlav
Lunglav
Reliktbock
Vedskivlav
Vedtrappmossa
Violettgrå tagellav
Mörk husmossa
Norrlandslav
Vedticka</t>
        </is>
      </c>
      <c r="V37">
        <f>HYPERLINK("https://klasma.github.io/Logging_FORSKNINGSRESAN_2025_BJURHOLM/artfynd/Björnberget N artfynd.xlsx", "Björnberget N")</f>
        <v/>
      </c>
      <c r="W37">
        <f>HYPERLINK("https://klasma.github.io/Logging_FORSKNINGSRESAN_2025_BJURHOLM/kartor/Björnberget N karta.png", "Björnberget N")</f>
        <v/>
      </c>
      <c r="Y37">
        <f>HYPERLINK("https://klasma.github.io/Logging_FORSKNINGSRESAN_2025_BJURHOLM/klagomål/Björnberget N FSC-klagomål.docx", "Björnberget N")</f>
        <v/>
      </c>
      <c r="Z37">
        <f>HYPERLINK("https://klasma.github.io/Logging_FORSKNINGSRESAN_2025_BJURHOLM/klagomålsmail/Björnberget N FSC-klagomål mail.docx", "Björnberget N")</f>
        <v/>
      </c>
      <c r="AA37">
        <f>HYPERLINK("https://klasma.github.io/Logging_FORSKNINGSRESAN_2025_BJURHOLM/tillsyn/Björnberget N tillsynsbegäran.docx", "Björnberget N")</f>
        <v/>
      </c>
      <c r="AB37">
        <f>HYPERLINK("https://klasma.github.io/Logging_FORSKNINGSRESAN_2025_BJURHOLM/tillsynsmail/Björnberget N tillsynsbegäran mail.docx", "Björnberget N")</f>
        <v/>
      </c>
    </row>
    <row r="38" ht="15" customHeight="1">
      <c r="A38" t="inlineStr">
        <is>
          <t>Kläpptjärnen</t>
        </is>
      </c>
      <c r="B38" t="inlineStr">
        <is>
          <t>avverkningsanmälan</t>
        </is>
      </c>
      <c r="D38" s="1" t="n">
        <v>46216</v>
      </c>
      <c r="E38" s="1" t="n">
        <v>46216</v>
      </c>
      <c r="F38" t="inlineStr"/>
      <c r="G38" t="inlineStr">
        <is>
          <t>Bjurholm</t>
        </is>
      </c>
      <c r="H38" t="inlineStr">
        <is>
          <t>SCA</t>
        </is>
      </c>
      <c r="I38" t="n">
        <v>113.3</v>
      </c>
      <c r="J38" t="n">
        <v>1</v>
      </c>
      <c r="K38" t="n">
        <v>0</v>
      </c>
      <c r="L38" t="n">
        <v>11</v>
      </c>
      <c r="M38" t="n">
        <v>3</v>
      </c>
      <c r="N38" t="n">
        <v>0</v>
      </c>
      <c r="O38" t="n">
        <v>0</v>
      </c>
      <c r="P38" t="n">
        <v>0</v>
      </c>
      <c r="Q38" t="n">
        <v>14</v>
      </c>
      <c r="R38" t="n">
        <v>3</v>
      </c>
      <c r="S38" t="n">
        <v>14</v>
      </c>
      <c r="T38" t="n">
        <v>33</v>
      </c>
      <c r="U38" s="2" t="inlineStr">
        <is>
          <t>Goliatmusseron
Jättemusseron
Skrovlig taggsvamp
Blå taggsvamp
Dropptaggsvamp
Dvärgbägarlav
Motaggsvamp
Orange taggsvamp
Skarp dropptaggsvamp
Tallfingersvamp
Talltaggsvamp
Tallticka
Tretåig hackspett
Vaddporing</t>
        </is>
      </c>
      <c r="V38">
        <f>HYPERLINK("https://klasma.github.io/Logging_FORSKNINGSRESAN_2025_BJURHOLM/artfynd/Kläpptjärnen artfynd.xlsx", "Kläpptjärnen")</f>
        <v/>
      </c>
      <c r="W38">
        <f>HYPERLINK("https://klasma.github.io/Logging_FORSKNINGSRESAN_2025_BJURHOLM/kartor/Kläpptjärnen karta.png", "Kläpptjärnen")</f>
        <v/>
      </c>
      <c r="Y38">
        <f>HYPERLINK("https://klasma.github.io/Logging_FORSKNINGSRESAN_2025_BJURHOLM/klagomål/Kläpptjärnen FSC-klagomål.docx", "Kläpptjärnen")</f>
        <v/>
      </c>
      <c r="Z38">
        <f>HYPERLINK("https://klasma.github.io/Logging_FORSKNINGSRESAN_2025_BJURHOLM/klagomålsmail/Kläpptjärnen FSC-klagomål mail.docx", "Kläpptjärnen")</f>
        <v/>
      </c>
      <c r="AA38">
        <f>HYPERLINK("https://klasma.github.io/Logging_FORSKNINGSRESAN_2025_BJURHOLM/tillsyn/Kläpptjärnen tillsynsbegäran.docx", "Kläpptjärnen")</f>
        <v/>
      </c>
      <c r="AB38">
        <f>HYPERLINK("https://klasma.github.io/Logging_FORSKNINGSRESAN_2025_BJURHOLM/tillsynsmail/Kläpptjärnen tillsynsbegäran mail.docx", "Kläpptjärnen")</f>
        <v/>
      </c>
      <c r="AC38">
        <f>HYPERLINK("https://klasma.github.io/Logging_FORSKNINGSRESAN_2025_BJURHOLM/fåglar/Kläpptjärnen prioriterade fågelarter.docx", "Kläpptjärnen")</f>
        <v/>
      </c>
    </row>
    <row r="39" ht="15" customHeight="1">
      <c r="A39" t="inlineStr">
        <is>
          <t>Trollberget</t>
        </is>
      </c>
      <c r="B39" t="inlineStr">
        <is>
          <t>avverkningsanmälan</t>
        </is>
      </c>
      <c r="D39" s="1" t="n">
        <v>46216</v>
      </c>
      <c r="E39" s="1" t="n">
        <v>46216</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46216</v>
      </c>
      <c r="E40" s="1" t="n">
        <v>46216</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46216</v>
      </c>
      <c r="E41" s="1" t="n">
        <v>46216</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46216</v>
      </c>
      <c r="E42" s="1" t="n">
        <v>46216</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46216</v>
      </c>
      <c r="E43" s="1" t="n">
        <v>46216</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46216</v>
      </c>
      <c r="E44" s="1" t="n">
        <v>46216</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46216</v>
      </c>
      <c r="E45" s="1" t="n">
        <v>46216</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46216</v>
      </c>
      <c r="E46" s="1" t="n">
        <v>46216</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46216</v>
      </c>
      <c r="E47" s="1" t="n">
        <v>46216</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46216</v>
      </c>
      <c r="E48" s="1" t="n">
        <v>46216</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46216</v>
      </c>
      <c r="E49" s="1" t="n">
        <v>46216</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46216</v>
      </c>
      <c r="E50" s="1" t="n">
        <v>46216</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46216</v>
      </c>
      <c r="E51" s="1" t="n">
        <v>46216</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46216</v>
      </c>
      <c r="E52" s="1" t="n">
        <v>46216</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46216</v>
      </c>
      <c r="E53" s="1" t="n">
        <v>46216</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46216</v>
      </c>
      <c r="E54" s="1" t="n">
        <v>46216</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46216</v>
      </c>
      <c r="E55" s="1" t="n">
        <v>46216</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46216</v>
      </c>
      <c r="E56" s="1" t="n">
        <v>46216</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46216</v>
      </c>
      <c r="E57" s="1" t="n">
        <v>46216</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46216</v>
      </c>
      <c r="E58" s="1" t="n">
        <v>46216</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46216</v>
      </c>
      <c r="E59" s="1" t="n">
        <v>46216</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46216</v>
      </c>
      <c r="E60" s="1" t="n">
        <v>46216</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46216</v>
      </c>
      <c r="E61" s="1" t="n">
        <v>46216</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46216</v>
      </c>
      <c r="E62" s="1" t="n">
        <v>46216</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46216</v>
      </c>
      <c r="E63" s="1" t="n">
        <v>46216</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46216</v>
      </c>
      <c r="E64" s="1" t="n">
        <v>46216</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46216</v>
      </c>
      <c r="E65" s="1" t="n">
        <v>46216</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2026-07-13T05:59:30Z</dcterms:created>
  <dcterms:modified xmlns:dcterms="http://purl.org/dc/terms/" xmlns:xsi="http://www.w3.org/2001/XMLSchema-instance" xsi:type="dcterms:W3CDTF">2026-07-13T05:59:30Z</dcterms:modified>
</cp:coreProperties>
</file>