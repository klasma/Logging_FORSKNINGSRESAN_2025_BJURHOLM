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HYPERLINK("https://klasma.github.io/Logging_FORSKNINGSRESAN_2025_BJURHOLM/kartor_geotiff/Råtjärnberget georefererad karta.tif", "Råtjärnberget")</f>
        <v/>
      </c>
      <c r="Y2">
        <f>HYPERLINK("https://klasma.github.io/Logging_FORSKNINGSRESAN_2025_BJURHOLM/knärot/Råtjärnberget karta knärot.png", "Råtjärnberget")</f>
        <v/>
      </c>
      <c r="Z2">
        <f>HYPERLINK("https://klasma.github.io/Logging_FORSKNINGSRESAN_2025_BJURHOLM/klagomål/Råtjärnberget FSC-klagomål.docx", "Råtjärnberget")</f>
        <v/>
      </c>
      <c r="AA2">
        <f>HYPERLINK("https://klasma.github.io/Logging_FORSKNINGSRESAN_2025_BJURHOLM/klagomålsmail/Råtjärnberget FSC-klagomål mail.docx", "Råtjärnberget")</f>
        <v/>
      </c>
      <c r="AB2">
        <f>HYPERLINK("https://klasma.github.io/Logging_FORSKNINGSRESAN_2025_BJURHOLM/tillsyn/Råtjärnberget tillsynsbegäran.docx", "Råtjärnberget")</f>
        <v/>
      </c>
      <c r="AC2">
        <f>HYPERLINK("https://klasma.github.io/Logging_FORSKNINGSRESAN_2025_BJURHOLM/tillsynsmail/Råtjärnberget tillsynsbegäran mail.docx", "Råtjärnberget")</f>
        <v/>
      </c>
      <c r="AD2">
        <f>HYPERLINK("https://klasma.github.io/Logging_FORSKNINGSRESAN_2025_BJURHOLM/fåglar/Råtjärnberget prioriterade fågelarter.docx", "Råtjärnberget")</f>
        <v/>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HYPERLINK("https://klasma.github.io/Logging_FORSKNINGSRESAN_2025_BJURHOLM/kartor_geotiff/Kravattensliden georefererad karta.tif", "Kravattensliden")</f>
        <v/>
      </c>
      <c r="Y3">
        <f>HYPERLINK("https://klasma.github.io/Logging_FORSKNINGSRESAN_2025_BJURHOLM/knärot/Kravattensliden karta knärot.png", "Kravattensliden")</f>
        <v/>
      </c>
      <c r="Z3">
        <f>HYPERLINK("https://klasma.github.io/Logging_FORSKNINGSRESAN_2025_BJURHOLM/klagomål/Kravattensliden FSC-klagomål.docx", "Kravattensliden")</f>
        <v/>
      </c>
      <c r="AA3">
        <f>HYPERLINK("https://klasma.github.io/Logging_FORSKNINGSRESAN_2025_BJURHOLM/klagomålsmail/Kravattensliden FSC-klagomål mail.docx", "Kravattensliden")</f>
        <v/>
      </c>
      <c r="AB3">
        <f>HYPERLINK("https://klasma.github.io/Logging_FORSKNINGSRESAN_2025_BJURHOLM/tillsyn/Kravattensliden tillsynsbegäran.docx", "Kravattensliden")</f>
        <v/>
      </c>
      <c r="AC3">
        <f>HYPERLINK("https://klasma.github.io/Logging_FORSKNINGSRESAN_2025_BJURHOLM/tillsynsmail/Kravattensliden tillsynsbegäran mail.docx", "Kravattensliden")</f>
        <v/>
      </c>
      <c r="AD3">
        <f>HYPERLINK("https://klasma.github.io/Logging_FORSKNINGSRESAN_2025_BJURHOLM/fåglar/Kravattensliden prioriterade fågelarter.docx", "Kravattensliden")</f>
        <v/>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HYPERLINK("https://klasma.github.io/Logging_FORSKNINGSRESAN_2025_BJURHOLM/kartor_geotiff/Röjdtjärnliden georefererad karta.tif", "Röjdtjärnliden")</f>
        <v/>
      </c>
      <c r="Y4">
        <f>HYPERLINK("https://klasma.github.io/Logging_FORSKNINGSRESAN_2025_BJURHOLM/knärot/Röjdtjärnliden karta knärot.png", "Röjdtjärnliden")</f>
        <v/>
      </c>
      <c r="Z4">
        <f>HYPERLINK("https://klasma.github.io/Logging_FORSKNINGSRESAN_2025_BJURHOLM/klagomål/Röjdtjärnliden FSC-klagomål.docx", "Röjdtjärnliden")</f>
        <v/>
      </c>
      <c r="AA4">
        <f>HYPERLINK("https://klasma.github.io/Logging_FORSKNINGSRESAN_2025_BJURHOLM/klagomålsmail/Röjdtjärnliden FSC-klagomål mail.docx", "Röjdtjärnliden")</f>
        <v/>
      </c>
      <c r="AB4">
        <f>HYPERLINK("https://klasma.github.io/Logging_FORSKNINGSRESAN_2025_BJURHOLM/tillsyn/Röjdtjärnliden tillsynsbegäran.docx", "Röjdtjärnliden")</f>
        <v/>
      </c>
      <c r="AC4">
        <f>HYPERLINK("https://klasma.github.io/Logging_FORSKNINGSRESAN_2025_BJURHOLM/tillsynsmail/Röjdtjärnliden tillsynsbegäran mail.docx", "Röjdtjärnliden")</f>
        <v/>
      </c>
      <c r="AD4">
        <f>HYPERLINK("https://klasma.github.io/Logging_FORSKNINGSRESAN_2025_BJURHOLM/fåglar/Röjdtjärnliden prioriterade fågelarter.docx", "Röjdtjärnliden")</f>
        <v/>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HYPERLINK("https://klasma.github.io/Logging_FORSKNINGSRESAN_2025_BJURHOLM/kartor_geotiff/Lillgoberget georefererad karta.tif", "Lillgoberget")</f>
        <v/>
      </c>
      <c r="Y5">
        <f>HYPERLINK("https://klasma.github.io/Logging_FORSKNINGSRESAN_2025_BJURHOLM/knärot/Lillgoberget karta knärot.png", "Lillgoberget")</f>
        <v/>
      </c>
      <c r="Z5">
        <f>HYPERLINK("https://klasma.github.io/Logging_FORSKNINGSRESAN_2025_BJURHOLM/klagomål/Lillgoberget FSC-klagomål.docx", "Lillgoberget")</f>
        <v/>
      </c>
      <c r="AA5">
        <f>HYPERLINK("https://klasma.github.io/Logging_FORSKNINGSRESAN_2025_BJURHOLM/klagomålsmail/Lillgoberget FSC-klagomål mail.docx", "Lillgoberget")</f>
        <v/>
      </c>
      <c r="AB5">
        <f>HYPERLINK("https://klasma.github.io/Logging_FORSKNINGSRESAN_2025_BJURHOLM/tillsyn/Lillgoberget tillsynsbegäran.docx", "Lillgoberget")</f>
        <v/>
      </c>
      <c r="AC5">
        <f>HYPERLINK("https://klasma.github.io/Logging_FORSKNINGSRESAN_2025_BJURHOLM/tillsynsmail/Lillgoberget tillsynsbegäran mail.docx", "Lillgoberget")</f>
        <v/>
      </c>
      <c r="AD5">
        <f>HYPERLINK("https://klasma.github.io/Logging_FORSKNINGSRESAN_2025_BJURHOLM/fåglar/Lillgoberget prioriterade fågelarter.docx", "Lillgoberget")</f>
        <v/>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HYPERLINK("https://klasma.github.io/Logging_FORSKNINGSRESAN_2025_BJURHOLM/kartor_geotiff/Baksjökullen georefererad karta.tif", "Baksjökullen")</f>
        <v/>
      </c>
      <c r="Y6">
        <f>HYPERLINK("https://klasma.github.io/Logging_FORSKNINGSRESAN_2025_BJURHOLM/knärot/Baksjökullen karta knärot.png", "Baksjökullen")</f>
        <v/>
      </c>
      <c r="Z6">
        <f>HYPERLINK("https://klasma.github.io/Logging_FORSKNINGSRESAN_2025_BJURHOLM/klagomål/Baksjökullen FSC-klagomål.docx", "Baksjökullen")</f>
        <v/>
      </c>
      <c r="AA6">
        <f>HYPERLINK("https://klasma.github.io/Logging_FORSKNINGSRESAN_2025_BJURHOLM/klagomålsmail/Baksjökullen FSC-klagomål mail.docx", "Baksjökullen")</f>
        <v/>
      </c>
      <c r="AB6">
        <f>HYPERLINK("https://klasma.github.io/Logging_FORSKNINGSRESAN_2025_BJURHOLM/tillsyn/Baksjökullen tillsynsbegäran.docx", "Baksjökullen")</f>
        <v/>
      </c>
      <c r="AC6">
        <f>HYPERLINK("https://klasma.github.io/Logging_FORSKNINGSRESAN_2025_BJURHOLM/tillsynsmail/Baksjökullen tillsynsbegäran mail.docx", "Baksjökullen")</f>
        <v/>
      </c>
      <c r="AD6">
        <f>HYPERLINK("https://klasma.github.io/Logging_FORSKNINGSRESAN_2025_BJURHOLM/fåglar/Baksjökullen prioriterade fågelarter.docx", "Baksjökullen")</f>
        <v/>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HYPERLINK("https://klasma.github.io/Logging_FORSKNINGSRESAN_2025_BJURHOLM/kartor_geotiff/Fulberget georefererad karta.tif", "Fulberget")</f>
        <v/>
      </c>
      <c r="Y7">
        <f>HYPERLINK("https://klasma.github.io/Logging_FORSKNINGSRESAN_2025_BJURHOLM/knärot/Fulberget karta knärot.png", "Fulberget")</f>
        <v/>
      </c>
      <c r="Z7">
        <f>HYPERLINK("https://klasma.github.io/Logging_FORSKNINGSRESAN_2025_BJURHOLM/klagomål/Fulberget FSC-klagomål.docx", "Fulberget")</f>
        <v/>
      </c>
      <c r="AA7">
        <f>HYPERLINK("https://klasma.github.io/Logging_FORSKNINGSRESAN_2025_BJURHOLM/klagomålsmail/Fulberget FSC-klagomål mail.docx", "Fulberget")</f>
        <v/>
      </c>
      <c r="AB7">
        <f>HYPERLINK("https://klasma.github.io/Logging_FORSKNINGSRESAN_2025_BJURHOLM/tillsyn/Fulberget tillsynsbegäran.docx", "Fulberget")</f>
        <v/>
      </c>
      <c r="AC7">
        <f>HYPERLINK("https://klasma.github.io/Logging_FORSKNINGSRESAN_2025_BJURHOLM/tillsynsmail/Fulberget tillsynsbegäran mail.docx", "Fulberget")</f>
        <v/>
      </c>
      <c r="AD7">
        <f>HYPERLINK("https://klasma.github.io/Logging_FORSKNINGSRESAN_2025_BJURHOLM/fåglar/Fulberget prioriterade fågelarter.docx", "Fulberget")</f>
        <v/>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X8">
        <f>HYPERLINK("https://klasma.github.io/Logging_FORSKNINGSRESAN_2025_BJURHOLM/kartor_geotiff/Arnträskbergen georefererad karta.tif", "Arnträskbergen")</f>
        <v/>
      </c>
      <c r="Z8">
        <f>HYPERLINK("https://klasma.github.io/Logging_FORSKNINGSRESAN_2025_BJURHOLM/klagomål/Arnträskbergen FSC-klagomål.docx", "Arnträskbergen")</f>
        <v/>
      </c>
      <c r="AA8">
        <f>HYPERLINK("https://klasma.github.io/Logging_FORSKNINGSRESAN_2025_BJURHOLM/klagomålsmail/Arnträskbergen FSC-klagomål mail.docx", "Arnträskbergen")</f>
        <v/>
      </c>
      <c r="AB8">
        <f>HYPERLINK("https://klasma.github.io/Logging_FORSKNINGSRESAN_2025_BJURHOLM/tillsyn/Arnträskbergen tillsynsbegäran.docx", "Arnträskbergen")</f>
        <v/>
      </c>
      <c r="AC8">
        <f>HYPERLINK("https://klasma.github.io/Logging_FORSKNINGSRESAN_2025_BJURHOLM/tillsynsmail/Arnträskbergen tillsynsbegäran mail.docx", "Arnträskbergen")</f>
        <v/>
      </c>
      <c r="AD8">
        <f>HYPERLINK("https://klasma.github.io/Logging_FORSKNINGSRESAN_2025_BJURHOLM/fåglar/Arnträskbergen prioriterade fågelarter.docx", "Arnträskbergen")</f>
        <v/>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X9">
        <f>HYPERLINK("https://klasma.github.io/Logging_FORSKNINGSRESAN_2025_BJURHOLM/kartor_geotiff/Sundsjölandet georefererad karta.tif", "Sundsjölandet")</f>
        <v/>
      </c>
      <c r="Z9">
        <f>HYPERLINK("https://klasma.github.io/Logging_FORSKNINGSRESAN_2025_BJURHOLM/klagomål/Sundsjölandet FSC-klagomål.docx", "Sundsjölandet")</f>
        <v/>
      </c>
      <c r="AA9">
        <f>HYPERLINK("https://klasma.github.io/Logging_FORSKNINGSRESAN_2025_BJURHOLM/klagomålsmail/Sundsjölandet FSC-klagomål mail.docx", "Sundsjölandet")</f>
        <v/>
      </c>
      <c r="AB9">
        <f>HYPERLINK("https://klasma.github.io/Logging_FORSKNINGSRESAN_2025_BJURHOLM/tillsyn/Sundsjölandet tillsynsbegäran.docx", "Sundsjölandet")</f>
        <v/>
      </c>
      <c r="AC9">
        <f>HYPERLINK("https://klasma.github.io/Logging_FORSKNINGSRESAN_2025_BJURHOLM/tillsynsmail/Sundsjölandet tillsynsbegäran mail.docx", "Sundsjölandet")</f>
        <v/>
      </c>
      <c r="AD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HYPERLINK("https://klasma.github.io/Logging_FORSKNINGSRESAN_2025_BJURHOLM/kartor_geotiff/Rislidtjärnarna georefererad karta.tif", "Rislidtjärnarna")</f>
        <v/>
      </c>
      <c r="Y10">
        <f>HYPERLINK("https://klasma.github.io/Logging_FORSKNINGSRESAN_2025_BJURHOLM/knärot/Rislidtjärnarna karta knärot.png", "Rislidtjärnarna")</f>
        <v/>
      </c>
      <c r="Z10">
        <f>HYPERLINK("https://klasma.github.io/Logging_FORSKNINGSRESAN_2025_BJURHOLM/klagomål/Rislidtjärnarna FSC-klagomål.docx", "Rislidtjärnarna")</f>
        <v/>
      </c>
      <c r="AA10">
        <f>HYPERLINK("https://klasma.github.io/Logging_FORSKNINGSRESAN_2025_BJURHOLM/klagomålsmail/Rislidtjärnarna FSC-klagomål mail.docx", "Rislidtjärnarna")</f>
        <v/>
      </c>
      <c r="AB10">
        <f>HYPERLINK("https://klasma.github.io/Logging_FORSKNINGSRESAN_2025_BJURHOLM/tillsyn/Rislidtjärnarna tillsynsbegäran.docx", "Rislidtjärnarna")</f>
        <v/>
      </c>
      <c r="AC10">
        <f>HYPERLINK("https://klasma.github.io/Logging_FORSKNINGSRESAN_2025_BJURHOLM/tillsynsmail/Rislidtjärnarna tillsynsbegäran mail.docx", "Rislidtjärnarna")</f>
        <v/>
      </c>
      <c r="AD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HYPERLINK("https://klasma.github.io/Logging_FORSKNINGSRESAN_2025_BJURHOLM/kartor_geotiff/Lill-Lögdåberget O georefererad karta.tif", "Lill-Lögdåberget O")</f>
        <v/>
      </c>
      <c r="Y11">
        <f>HYPERLINK("https://klasma.github.io/Logging_FORSKNINGSRESAN_2025_BJURHOLM/knärot/Lill-Lögdåberget O karta knärot.png", "Lill-Lögdåberget O")</f>
        <v/>
      </c>
      <c r="Z11">
        <f>HYPERLINK("https://klasma.github.io/Logging_FORSKNINGSRESAN_2025_BJURHOLM/klagomål/Lill-Lögdåberget O FSC-klagomål.docx", "Lill-Lögdåberget O")</f>
        <v/>
      </c>
      <c r="AA11">
        <f>HYPERLINK("https://klasma.github.io/Logging_FORSKNINGSRESAN_2025_BJURHOLM/klagomålsmail/Lill-Lögdåberget O FSC-klagomål mail.docx", "Lill-Lögdåberget O")</f>
        <v/>
      </c>
      <c r="AB11">
        <f>HYPERLINK("https://klasma.github.io/Logging_FORSKNINGSRESAN_2025_BJURHOLM/tillsyn/Lill-Lögdåberget O tillsynsbegäran.docx", "Lill-Lögdåberget O")</f>
        <v/>
      </c>
      <c r="AC11">
        <f>HYPERLINK("https://klasma.github.io/Logging_FORSKNINGSRESAN_2025_BJURHOLM/tillsynsmail/Lill-Lögdåberget O tillsynsbegäran mail.docx", "Lill-Lögdåberget O")</f>
        <v/>
      </c>
      <c r="AD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HYPERLINK("https://klasma.github.io/Logging_FORSKNINGSRESAN_2025_BJURHOLM/kartor_geotiff/Tällvattsåsen georefererad karta.tif", "Tällvattsåsen")</f>
        <v/>
      </c>
      <c r="Y12">
        <f>HYPERLINK("https://klasma.github.io/Logging_FORSKNINGSRESAN_2025_BJURHOLM/knärot/Tällvattsåsen karta knärot.png", "Tällvattsåsen")</f>
        <v/>
      </c>
      <c r="Z12">
        <f>HYPERLINK("https://klasma.github.io/Logging_FORSKNINGSRESAN_2025_BJURHOLM/klagomål/Tällvattsåsen FSC-klagomål.docx", "Tällvattsåsen")</f>
        <v/>
      </c>
      <c r="AA12">
        <f>HYPERLINK("https://klasma.github.io/Logging_FORSKNINGSRESAN_2025_BJURHOLM/klagomålsmail/Tällvattsåsen FSC-klagomål mail.docx", "Tällvattsåsen")</f>
        <v/>
      </c>
      <c r="AB12">
        <f>HYPERLINK("https://klasma.github.io/Logging_FORSKNINGSRESAN_2025_BJURHOLM/tillsyn/Tällvattsåsen tillsynsbegäran.docx", "Tällvattsåsen")</f>
        <v/>
      </c>
      <c r="AC12">
        <f>HYPERLINK("https://klasma.github.io/Logging_FORSKNINGSRESAN_2025_BJURHOLM/tillsynsmail/Tällvattsåsen tillsynsbegäran mail.docx", "Tällvattsåsen")</f>
        <v/>
      </c>
      <c r="AD12">
        <f>HYPERLINK("https://klasma.github.io/Logging_FORSKNINGSRESAN_2025_BJURHOLM/fåglar/Tällvattsåsen prioriterade fågelarter.docx", "Tällvattsåsen")</f>
        <v/>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X13">
        <f>HYPERLINK("https://klasma.github.io/Logging_FORSKNINGSRESAN_2025_BJURHOLM/kartor_geotiff/Lappberget georefererad karta.tif", "Lappberget")</f>
        <v/>
      </c>
      <c r="Z13">
        <f>HYPERLINK("https://klasma.github.io/Logging_FORSKNINGSRESAN_2025_BJURHOLM/klagomål/Lappberget FSC-klagomål.docx", "Lappberget")</f>
        <v/>
      </c>
      <c r="AA13">
        <f>HYPERLINK("https://klasma.github.io/Logging_FORSKNINGSRESAN_2025_BJURHOLM/klagomålsmail/Lappberget FSC-klagomål mail.docx", "Lappberget")</f>
        <v/>
      </c>
      <c r="AB13">
        <f>HYPERLINK("https://klasma.github.io/Logging_FORSKNINGSRESAN_2025_BJURHOLM/tillsyn/Lappberget tillsynsbegäran.docx", "Lappberget")</f>
        <v/>
      </c>
      <c r="AC13">
        <f>HYPERLINK("https://klasma.github.io/Logging_FORSKNINGSRESAN_2025_BJURHOLM/tillsynsmail/Lappberget tillsynsbegäran mail.docx", "Lappberget")</f>
        <v/>
      </c>
      <c r="AD13">
        <f>HYPERLINK("https://klasma.github.io/Logging_FORSKNINGSRESAN_2025_BJURHOLM/fåglar/Lappberget prioriterade fågelarter.docx", "Lappberget")</f>
        <v/>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HYPERLINK("https://klasma.github.io/Logging_FORSKNINGSRESAN_2025_BJURHOLM/kartor_geotiff/Tyfallsjön georefererad karta.tif", "Tyfallsjön")</f>
        <v/>
      </c>
      <c r="Y14">
        <f>HYPERLINK("https://klasma.github.io/Logging_FORSKNINGSRESAN_2025_BJURHOLM/knärot/Tyfallsjön karta knärot.png", "Tyfallsjön")</f>
        <v/>
      </c>
      <c r="Z14">
        <f>HYPERLINK("https://klasma.github.io/Logging_FORSKNINGSRESAN_2025_BJURHOLM/klagomål/Tyfallsjön FSC-klagomål.docx", "Tyfallsjön")</f>
        <v/>
      </c>
      <c r="AA14">
        <f>HYPERLINK("https://klasma.github.io/Logging_FORSKNINGSRESAN_2025_BJURHOLM/klagomålsmail/Tyfallsjön FSC-klagomål mail.docx", "Tyfallsjön")</f>
        <v/>
      </c>
      <c r="AB14">
        <f>HYPERLINK("https://klasma.github.io/Logging_FORSKNINGSRESAN_2025_BJURHOLM/tillsyn/Tyfallsjön tillsynsbegäran.docx", "Tyfallsjön")</f>
        <v/>
      </c>
      <c r="AC14">
        <f>HYPERLINK("https://klasma.github.io/Logging_FORSKNINGSRESAN_2025_BJURHOLM/tillsynsmail/Tyfallsjön tillsynsbegäran mail.docx", "Tyfallsjön")</f>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X15">
        <f>HYPERLINK("https://klasma.github.io/Logging_FORSKNINGSRESAN_2025_BJURHOLM/kartor_geotiff/Oxliden georefererad karta.tif", "Oxliden")</f>
        <v/>
      </c>
      <c r="Z15">
        <f>HYPERLINK("https://klasma.github.io/Logging_FORSKNINGSRESAN_2025_BJURHOLM/klagomål/Oxliden FSC-klagomål.docx", "Oxliden")</f>
        <v/>
      </c>
      <c r="AA15">
        <f>HYPERLINK("https://klasma.github.io/Logging_FORSKNINGSRESAN_2025_BJURHOLM/klagomålsmail/Oxliden FSC-klagomål mail.docx", "Oxliden")</f>
        <v/>
      </c>
      <c r="AB15">
        <f>HYPERLINK("https://klasma.github.io/Logging_FORSKNINGSRESAN_2025_BJURHOLM/tillsyn/Oxliden tillsynsbegäran.docx", "Oxliden")</f>
        <v/>
      </c>
      <c r="AC15">
        <f>HYPERLINK("https://klasma.github.io/Logging_FORSKNINGSRESAN_2025_BJURHOLM/tillsynsmail/Oxliden tillsynsbegäran mail.docx", "Oxliden")</f>
        <v/>
      </c>
      <c r="AD15">
        <f>HYPERLINK("https://klasma.github.io/Logging_FORSKNINGSRESAN_2025_BJURHOLM/fåglar/Oxliden prioriterade fågelarter.docx", "Oxliden")</f>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HYPERLINK("https://klasma.github.io/Logging_FORSKNINGSRESAN_2025_BJURHOLM/kartor_geotiff/Gålgoberget georefererad karta.tif", "Gålgoberget")</f>
        <v/>
      </c>
      <c r="Y16">
        <f>HYPERLINK("https://klasma.github.io/Logging_FORSKNINGSRESAN_2025_BJURHOLM/knärot/Gålgoberget karta knärot.png", "Gålgoberget")</f>
        <v/>
      </c>
      <c r="Z16">
        <f>HYPERLINK("https://klasma.github.io/Logging_FORSKNINGSRESAN_2025_BJURHOLM/klagomål/Gålgoberget FSC-klagomål.docx", "Gålgoberget")</f>
        <v/>
      </c>
      <c r="AA16">
        <f>HYPERLINK("https://klasma.github.io/Logging_FORSKNINGSRESAN_2025_BJURHOLM/klagomålsmail/Gålgoberget FSC-klagomål mail.docx", "Gålgoberget")</f>
        <v/>
      </c>
      <c r="AB16">
        <f>HYPERLINK("https://klasma.github.io/Logging_FORSKNINGSRESAN_2025_BJURHOLM/tillsyn/Gålgoberget tillsynsbegäran.docx", "Gålgoberget")</f>
        <v/>
      </c>
      <c r="AC16">
        <f>HYPERLINK("https://klasma.github.io/Logging_FORSKNINGSRESAN_2025_BJURHOLM/tillsynsmail/Gålgoberget tillsynsbegäran mail.docx", "Gålgoberget")</f>
        <v/>
      </c>
      <c r="AD16">
        <f>HYPERLINK("https://klasma.github.io/Logging_FORSKNINGSRESAN_2025_BJURHOLM/fåglar/Gålgoberget prioriterade fågelarter.docx", "Gålgoberget")</f>
        <v/>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HYPERLINK("https://klasma.github.io/Logging_FORSKNINGSRESAN_2025_BJURHOLM/kartor_geotiff/Orratjärnskullen georefererad karta.tif", "Orratjärnskullen")</f>
        <v/>
      </c>
      <c r="Y17">
        <f>HYPERLINK("https://klasma.github.io/Logging_FORSKNINGSRESAN_2025_BJURHOLM/knärot/Orratjärnskullen karta knärot.png", "Orratjärnskullen")</f>
        <v/>
      </c>
      <c r="Z17">
        <f>HYPERLINK("https://klasma.github.io/Logging_FORSKNINGSRESAN_2025_BJURHOLM/klagomål/Orratjärnskullen FSC-klagomål.docx", "Orratjärnskullen")</f>
        <v/>
      </c>
      <c r="AA17">
        <f>HYPERLINK("https://klasma.github.io/Logging_FORSKNINGSRESAN_2025_BJURHOLM/klagomålsmail/Orratjärnskullen FSC-klagomål mail.docx", "Orratjärnskullen")</f>
        <v/>
      </c>
      <c r="AB17">
        <f>HYPERLINK("https://klasma.github.io/Logging_FORSKNINGSRESAN_2025_BJURHOLM/tillsyn/Orratjärnskullen tillsynsbegäran.docx", "Orratjärnskullen")</f>
        <v/>
      </c>
      <c r="AC17">
        <f>HYPERLINK("https://klasma.github.io/Logging_FORSKNINGSRESAN_2025_BJURHOLM/tillsynsmail/Orratjärnskullen tillsynsbegäran mail.docx", "Orratjärnskullen")</f>
        <v/>
      </c>
      <c r="AD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HYPERLINK("https://klasma.github.io/Logging_FORSKNINGSRESAN_2025_BJURHOLM/kartor_geotiff/Hötjärnberget georefererad karta.tif", "Hötjärnberget")</f>
        <v/>
      </c>
      <c r="Y18">
        <f>HYPERLINK("https://klasma.github.io/Logging_FORSKNINGSRESAN_2025_BJURHOLM/knärot/Hötjärnberget karta knärot.png", "Hötjärnberget")</f>
        <v/>
      </c>
      <c r="Z18">
        <f>HYPERLINK("https://klasma.github.io/Logging_FORSKNINGSRESAN_2025_BJURHOLM/klagomål/Hötjärnberget FSC-klagomål.docx", "Hötjärnberget")</f>
        <v/>
      </c>
      <c r="AA18">
        <f>HYPERLINK("https://klasma.github.io/Logging_FORSKNINGSRESAN_2025_BJURHOLM/klagomålsmail/Hötjärnberget FSC-klagomål mail.docx", "Hötjärnberget")</f>
        <v/>
      </c>
      <c r="AB18">
        <f>HYPERLINK("https://klasma.github.io/Logging_FORSKNINGSRESAN_2025_BJURHOLM/tillsyn/Hötjärnberget tillsynsbegäran.docx", "Hötjärnberget")</f>
        <v/>
      </c>
      <c r="AC18">
        <f>HYPERLINK("https://klasma.github.io/Logging_FORSKNINGSRESAN_2025_BJURHOLM/tillsynsmail/Hötjärnberget tillsynsbegäran mail.docx", "Hötjärnberget")</f>
        <v/>
      </c>
      <c r="AD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X19">
        <f>HYPERLINK("https://klasma.github.io/Logging_FORSKNINGSRESAN_2025_BJURHOLM/kartor_geotiff/Glesskallberget georefererad karta.tif", "Glesskallberget")</f>
        <v/>
      </c>
      <c r="Z19">
        <f>HYPERLINK("https://klasma.github.io/Logging_FORSKNINGSRESAN_2025_BJURHOLM/klagomål/Glesskallberget FSC-klagomål.docx", "Glesskallberget")</f>
        <v/>
      </c>
      <c r="AA19">
        <f>HYPERLINK("https://klasma.github.io/Logging_FORSKNINGSRESAN_2025_BJURHOLM/klagomålsmail/Glesskallberget FSC-klagomål mail.docx", "Glesskallberget")</f>
        <v/>
      </c>
      <c r="AB19">
        <f>HYPERLINK("https://klasma.github.io/Logging_FORSKNINGSRESAN_2025_BJURHOLM/tillsyn/Glesskallberget tillsynsbegäran.docx", "Glesskallberget")</f>
        <v/>
      </c>
      <c r="AC19">
        <f>HYPERLINK("https://klasma.github.io/Logging_FORSKNINGSRESAN_2025_BJURHOLM/tillsynsmail/Glesskallberget tillsynsbegäran mail.docx", "Glesskallberget")</f>
        <v/>
      </c>
      <c r="AD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HYPERLINK("https://klasma.github.io/Logging_FORSKNINGSRESAN_2025_BJURHOLM/kartor_geotiff/Stormyrbäcken georefererad karta.tif", "Stormyrbäcken")</f>
        <v/>
      </c>
      <c r="Y20">
        <f>HYPERLINK("https://klasma.github.io/Logging_FORSKNINGSRESAN_2025_BJURHOLM/knärot/Stormyrbäcken karta knärot.png", "Stormyrbäcken")</f>
        <v/>
      </c>
      <c r="Z20">
        <f>HYPERLINK("https://klasma.github.io/Logging_FORSKNINGSRESAN_2025_BJURHOLM/klagomål/Stormyrbäcken FSC-klagomål.docx", "Stormyrbäcken")</f>
        <v/>
      </c>
      <c r="AA20">
        <f>HYPERLINK("https://klasma.github.io/Logging_FORSKNINGSRESAN_2025_BJURHOLM/klagomålsmail/Stormyrbäcken FSC-klagomål mail.docx", "Stormyrbäcken")</f>
        <v/>
      </c>
      <c r="AB20">
        <f>HYPERLINK("https://klasma.github.io/Logging_FORSKNINGSRESAN_2025_BJURHOLM/tillsyn/Stormyrbäcken tillsynsbegäran.docx", "Stormyrbäcken")</f>
        <v/>
      </c>
      <c r="AC20">
        <f>HYPERLINK("https://klasma.github.io/Logging_FORSKNINGSRESAN_2025_BJURHOLM/tillsynsmail/Stormyrbäcken tillsynsbegäran mail.docx", "Stormyrbäcken")</f>
        <v/>
      </c>
      <c r="AD20">
        <f>HYPERLINK("https://klasma.github.io/Logging_FORSKNINGSRESAN_2025_BJURHOLM/fåglar/Stormyrbäcken prioriterade fågelarter.docx", "Stormyrbäcken")</f>
        <v/>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HYPERLINK("https://klasma.github.io/Logging_FORSKNINGSRESAN_2025_BJURHOLM/kartor_geotiff/Bastuberget georefererad karta.tif", "Bastuberget")</f>
        <v/>
      </c>
      <c r="Y21">
        <f>HYPERLINK("https://klasma.github.io/Logging_FORSKNINGSRESAN_2025_BJURHOLM/knärot/Bastuberget karta knärot.png", "Bastuberget")</f>
        <v/>
      </c>
      <c r="Z21">
        <f>HYPERLINK("https://klasma.github.io/Logging_FORSKNINGSRESAN_2025_BJURHOLM/klagomål/Bastuberget FSC-klagomål.docx", "Bastuberget")</f>
        <v/>
      </c>
      <c r="AA21">
        <f>HYPERLINK("https://klasma.github.io/Logging_FORSKNINGSRESAN_2025_BJURHOLM/klagomålsmail/Bastuberget FSC-klagomål mail.docx", "Bastuberget")</f>
        <v/>
      </c>
      <c r="AB21">
        <f>HYPERLINK("https://klasma.github.io/Logging_FORSKNINGSRESAN_2025_BJURHOLM/tillsyn/Bastuberget tillsynsbegäran.docx", "Bastuberget")</f>
        <v/>
      </c>
      <c r="AC21">
        <f>HYPERLINK("https://klasma.github.io/Logging_FORSKNINGSRESAN_2025_BJURHOLM/tillsynsmail/Bastuberget tillsynsbegäran mail.docx", "Bastuberget")</f>
        <v/>
      </c>
      <c r="AD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X22">
        <f>HYPERLINK("https://klasma.github.io/Logging_FORSKNINGSRESAN_2025_BJURHOLM/kartor_geotiff/Lögdeälven käringberget georefererad karta.tif", "Lögdeälven käringberget")</f>
        <v/>
      </c>
      <c r="Z22">
        <f>HYPERLINK("https://klasma.github.io/Logging_FORSKNINGSRESAN_2025_BJURHOLM/klagomål/Lögdeälven käringberget FSC-klagomål.docx", "Lögdeälven käringberget")</f>
        <v/>
      </c>
      <c r="AA22">
        <f>HYPERLINK("https://klasma.github.io/Logging_FORSKNINGSRESAN_2025_BJURHOLM/klagomålsmail/Lögdeälven käringberget FSC-klagomål mail.docx", "Lögdeälven käringberget")</f>
        <v/>
      </c>
      <c r="AB22">
        <f>HYPERLINK("https://klasma.github.io/Logging_FORSKNINGSRESAN_2025_BJURHOLM/tillsyn/Lögdeälven käringberget tillsynsbegäran.docx", "Lögdeälven käringberget")</f>
        <v/>
      </c>
      <c r="AC22">
        <f>HYPERLINK("https://klasma.github.io/Logging_FORSKNINGSRESAN_2025_BJURHOLM/tillsynsmail/Lögdeälven käringberget tillsynsbegäran mail.docx", "Lögdeälven käringberget")</f>
        <v/>
      </c>
      <c r="AD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X23">
        <f>HYPERLINK("https://klasma.github.io/Logging_FORSKNINGSRESAN_2025_BJURHOLM/kartor_geotiff/Gåsselmyran georefererad karta.tif", "Gåsselmyran")</f>
        <v/>
      </c>
      <c r="Z23">
        <f>HYPERLINK("https://klasma.github.io/Logging_FORSKNINGSRESAN_2025_BJURHOLM/klagomål/Gåsselmyran FSC-klagomål.docx", "Gåsselmyran")</f>
        <v/>
      </c>
      <c r="AA23">
        <f>HYPERLINK("https://klasma.github.io/Logging_FORSKNINGSRESAN_2025_BJURHOLM/klagomålsmail/Gåsselmyran FSC-klagomål mail.docx", "Gåsselmyran")</f>
        <v/>
      </c>
      <c r="AB23">
        <f>HYPERLINK("https://klasma.github.io/Logging_FORSKNINGSRESAN_2025_BJURHOLM/tillsyn/Gåsselmyran tillsynsbegäran.docx", "Gåsselmyran")</f>
        <v/>
      </c>
      <c r="AC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X24">
        <f>HYPERLINK("https://klasma.github.io/Logging_FORSKNINGSRESAN_2025_BJURHOLM/kartor_geotiff/Käringberget SV georefererad karta.tif", "Käringberget SV")</f>
        <v/>
      </c>
      <c r="Z24">
        <f>HYPERLINK("https://klasma.github.io/Logging_FORSKNINGSRESAN_2025_BJURHOLM/klagomål/Käringberget SV FSC-klagomål.docx", "Käringberget SV")</f>
        <v/>
      </c>
      <c r="AA24">
        <f>HYPERLINK("https://klasma.github.io/Logging_FORSKNINGSRESAN_2025_BJURHOLM/klagomålsmail/Käringberget SV FSC-klagomål mail.docx", "Käringberget SV")</f>
        <v/>
      </c>
      <c r="AB24">
        <f>HYPERLINK("https://klasma.github.io/Logging_FORSKNINGSRESAN_2025_BJURHOLM/tillsyn/Käringberget SV tillsynsbegäran.docx", "Käringberget SV")</f>
        <v/>
      </c>
      <c r="AC24">
        <f>HYPERLINK("https://klasma.github.io/Logging_FORSKNINGSRESAN_2025_BJURHOLM/tillsynsmail/Käringberget SV tillsynsbegäran mail.docx", "Käringberget SV")</f>
        <v/>
      </c>
      <c r="AD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X25">
        <f>HYPERLINK("https://klasma.github.io/Logging_FORSKNINGSRESAN_2025_BJURHOLM/kartor_geotiff/Vitstensberget georefererad karta.tif", "Vitstensberget")</f>
        <v/>
      </c>
      <c r="Z25">
        <f>HYPERLINK("https://klasma.github.io/Logging_FORSKNINGSRESAN_2025_BJURHOLM/klagomål/Vitstensberget FSC-klagomål.docx", "Vitstensberget")</f>
        <v/>
      </c>
      <c r="AA25">
        <f>HYPERLINK("https://klasma.github.io/Logging_FORSKNINGSRESAN_2025_BJURHOLM/klagomålsmail/Vitstensberget FSC-klagomål mail.docx", "Vitstensberget")</f>
        <v/>
      </c>
      <c r="AB25">
        <f>HYPERLINK("https://klasma.github.io/Logging_FORSKNINGSRESAN_2025_BJURHOLM/tillsyn/Vitstensberget tillsynsbegäran.docx", "Vitstensberget")</f>
        <v/>
      </c>
      <c r="AC25">
        <f>HYPERLINK("https://klasma.github.io/Logging_FORSKNINGSRESAN_2025_BJURHOLM/tillsynsmail/Vitstensberget tillsynsbegäran mail.docx", "Vitstensberget")</f>
        <v/>
      </c>
      <c r="AD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HYPERLINK("https://klasma.github.io/Logging_FORSKNINGSRESAN_2025_BJURHOLM/kartor_geotiff/Karlstjärnberget georefererad karta.tif", "Karlstjärnberget")</f>
        <v/>
      </c>
      <c r="Y26">
        <f>HYPERLINK("https://klasma.github.io/Logging_FORSKNINGSRESAN_2025_BJURHOLM/knärot/Karlstjärnberget karta knärot.png", "Karlstjärnberget")</f>
        <v/>
      </c>
      <c r="Z26">
        <f>HYPERLINK("https://klasma.github.io/Logging_FORSKNINGSRESAN_2025_BJURHOLM/klagomål/Karlstjärnberget FSC-klagomål.docx", "Karlstjärnberget")</f>
        <v/>
      </c>
      <c r="AA26">
        <f>HYPERLINK("https://klasma.github.io/Logging_FORSKNINGSRESAN_2025_BJURHOLM/klagomålsmail/Karlstjärnberget FSC-klagomål mail.docx", "Karlstjärnberget")</f>
        <v/>
      </c>
      <c r="AB26">
        <f>HYPERLINK("https://klasma.github.io/Logging_FORSKNINGSRESAN_2025_BJURHOLM/tillsyn/Karlstjärnberget tillsynsbegäran.docx", "Karlstjärnberget")</f>
        <v/>
      </c>
      <c r="AC26">
        <f>HYPERLINK("https://klasma.github.io/Logging_FORSKNINGSRESAN_2025_BJURHOLM/tillsynsmail/Karlstjärnberget tillsynsbegäran mail.docx", "Karlstjärnberget")</f>
        <v/>
      </c>
      <c r="AD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HYPERLINK("https://klasma.github.io/Logging_FORSKNINGSRESAN_2025_BJURHOLM/kartor_geotiff/Herrbergsliden norr georefererad karta.tif", "Herrbergsliden norr")</f>
        <v/>
      </c>
      <c r="Y27">
        <f>HYPERLINK("https://klasma.github.io/Logging_FORSKNINGSRESAN_2025_BJURHOLM/knärot/Herrbergsliden norr karta knärot.png", "Herrbergsliden norr")</f>
        <v/>
      </c>
      <c r="Z27">
        <f>HYPERLINK("https://klasma.github.io/Logging_FORSKNINGSRESAN_2025_BJURHOLM/klagomål/Herrbergsliden norr FSC-klagomål.docx", "Herrbergsliden norr")</f>
        <v/>
      </c>
      <c r="AA27">
        <f>HYPERLINK("https://klasma.github.io/Logging_FORSKNINGSRESAN_2025_BJURHOLM/klagomålsmail/Herrbergsliden norr FSC-klagomål mail.docx", "Herrbergsliden norr")</f>
        <v/>
      </c>
      <c r="AB27">
        <f>HYPERLINK("https://klasma.github.io/Logging_FORSKNINGSRESAN_2025_BJURHOLM/tillsyn/Herrbergsliden norr tillsynsbegäran.docx", "Herrbergsliden norr")</f>
        <v/>
      </c>
      <c r="AC27">
        <f>HYPERLINK("https://klasma.github.io/Logging_FORSKNINGSRESAN_2025_BJURHOLM/tillsynsmail/Herrbergsliden norr tillsynsbegäran mail.docx", "Herrbergsliden norr")</f>
        <v/>
      </c>
      <c r="AD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HYPERLINK("https://klasma.github.io/Logging_FORSKNINGSRESAN_2025_BJURHOLM/kartor_geotiff/Björnberget SV georefererad karta.tif", "Björnberget SV")</f>
        <v/>
      </c>
      <c r="Y28">
        <f>HYPERLINK("https://klasma.github.io/Logging_FORSKNINGSRESAN_2025_BJURHOLM/knärot/Björnberget SV karta knärot.png", "Björnberget SV")</f>
        <v/>
      </c>
      <c r="Z28">
        <f>HYPERLINK("https://klasma.github.io/Logging_FORSKNINGSRESAN_2025_BJURHOLM/klagomål/Björnberget SV FSC-klagomål.docx", "Björnberget SV")</f>
        <v/>
      </c>
      <c r="AA28">
        <f>HYPERLINK("https://klasma.github.io/Logging_FORSKNINGSRESAN_2025_BJURHOLM/klagomålsmail/Björnberget SV FSC-klagomål mail.docx", "Björnberget SV")</f>
        <v/>
      </c>
      <c r="AB28">
        <f>HYPERLINK("https://klasma.github.io/Logging_FORSKNINGSRESAN_2025_BJURHOLM/tillsyn/Björnberget SV tillsynsbegäran.docx", "Björnberget SV")</f>
        <v/>
      </c>
      <c r="AC28">
        <f>HYPERLINK("https://klasma.github.io/Logging_FORSKNINGSRESAN_2025_BJURHOLM/tillsynsmail/Björnberget SV tillsynsbegäran mail.docx", "Björnberget SV")</f>
        <v/>
      </c>
      <c r="AD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X29">
        <f>HYPERLINK("https://klasma.github.io/Logging_FORSKNINGSRESAN_2025_BJURHOLM/kartor_geotiff/Björnberget NV georefererad karta.tif", "Björnberget NV")</f>
        <v/>
      </c>
      <c r="Z29">
        <f>HYPERLINK("https://klasma.github.io/Logging_FORSKNINGSRESAN_2025_BJURHOLM/klagomål/Björnberget NV FSC-klagomål.docx", "Björnberget NV")</f>
        <v/>
      </c>
      <c r="AA29">
        <f>HYPERLINK("https://klasma.github.io/Logging_FORSKNINGSRESAN_2025_BJURHOLM/klagomålsmail/Björnberget NV FSC-klagomål mail.docx", "Björnberget NV")</f>
        <v/>
      </c>
      <c r="AB29">
        <f>HYPERLINK("https://klasma.github.io/Logging_FORSKNINGSRESAN_2025_BJURHOLM/tillsyn/Björnberget NV tillsynsbegäran.docx", "Björnberget NV")</f>
        <v/>
      </c>
      <c r="AC29">
        <f>HYPERLINK("https://klasma.github.io/Logging_FORSKNINGSRESAN_2025_BJURHOLM/tillsynsmail/Björnberget NV tillsynsbegäran mail.docx", "Björnberget NV")</f>
        <v/>
      </c>
      <c r="AD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X30">
        <f>HYPERLINK("https://klasma.github.io/Logging_FORSKNINGSRESAN_2025_BJURHOLM/kartor_geotiff/Kläpptjärnen georefererad karta.tif", "Kläpptjärnen")</f>
        <v/>
      </c>
      <c r="Z30">
        <f>HYPERLINK("https://klasma.github.io/Logging_FORSKNINGSRESAN_2025_BJURHOLM/klagomål/Kläpptjärnen FSC-klagomål.docx", "Kläpptjärnen")</f>
        <v/>
      </c>
      <c r="AA30">
        <f>HYPERLINK("https://klasma.github.io/Logging_FORSKNINGSRESAN_2025_BJURHOLM/klagomålsmail/Kläpptjärnen FSC-klagomål mail.docx", "Kläpptjärnen")</f>
        <v/>
      </c>
      <c r="AB30">
        <f>HYPERLINK("https://klasma.github.io/Logging_FORSKNINGSRESAN_2025_BJURHOLM/tillsyn/Kläpptjärnen tillsynsbegäran.docx", "Kläpptjärnen")</f>
        <v/>
      </c>
      <c r="AC30">
        <f>HYPERLINK("https://klasma.github.io/Logging_FORSKNINGSRESAN_2025_BJURHOLM/tillsynsmail/Kläpptjärnen tillsynsbegäran mail.docx", "Kläpptjärnen")</f>
        <v/>
      </c>
      <c r="AD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HYPERLINK("https://klasma.github.io/Logging_FORSKNINGSRESAN_2025_BJURHOLM/kartor_geotiff/Johannesbomyran georefererad karta.tif", "Johannesbomyran")</f>
        <v/>
      </c>
      <c r="Y31">
        <f>HYPERLINK("https://klasma.github.io/Logging_FORSKNINGSRESAN_2025_BJURHOLM/knärot/Johannesbomyran karta knärot.png", "Johannesbomyran")</f>
        <v/>
      </c>
      <c r="Z31">
        <f>HYPERLINK("https://klasma.github.io/Logging_FORSKNINGSRESAN_2025_BJURHOLM/klagomål/Johannesbomyran FSC-klagomål.docx", "Johannesbomyran")</f>
        <v/>
      </c>
      <c r="AA31">
        <f>HYPERLINK("https://klasma.github.io/Logging_FORSKNINGSRESAN_2025_BJURHOLM/klagomålsmail/Johannesbomyran FSC-klagomål mail.docx", "Johannesbomyran")</f>
        <v/>
      </c>
      <c r="AB31">
        <f>HYPERLINK("https://klasma.github.io/Logging_FORSKNINGSRESAN_2025_BJURHOLM/tillsyn/Johannesbomyran tillsynsbegäran.docx", "Johannesbomyran")</f>
        <v/>
      </c>
      <c r="AC31">
        <f>HYPERLINK("https://klasma.github.io/Logging_FORSKNINGSRESAN_2025_BJURHOLM/tillsynsmail/Johannesbomyran tillsynsbegäran mail.docx", "Johannesbomyran")</f>
        <v/>
      </c>
      <c r="AD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X32">
        <f>HYPERLINK("https://klasma.github.io/Logging_FORSKNINGSRESAN_2025_BJURHOLM/kartor_geotiff/Stockbäcken georefererad karta.tif", "Stockbäcken")</f>
        <v/>
      </c>
      <c r="Z32">
        <f>HYPERLINK("https://klasma.github.io/Logging_FORSKNINGSRESAN_2025_BJURHOLM/klagomål/Stockbäcken FSC-klagomål.docx", "Stockbäcken")</f>
        <v/>
      </c>
      <c r="AA32">
        <f>HYPERLINK("https://klasma.github.io/Logging_FORSKNINGSRESAN_2025_BJURHOLM/klagomålsmail/Stockbäcken FSC-klagomål mail.docx", "Stockbäcken")</f>
        <v/>
      </c>
      <c r="AB32">
        <f>HYPERLINK("https://klasma.github.io/Logging_FORSKNINGSRESAN_2025_BJURHOLM/tillsyn/Stockbäcken tillsynsbegäran.docx", "Stockbäcken")</f>
        <v/>
      </c>
      <c r="AC32">
        <f>HYPERLINK("https://klasma.github.io/Logging_FORSKNINGSRESAN_2025_BJURHOLM/tillsynsmail/Stockbäcken tillsynsbegäran mail.docx", "Stockbäcken")</f>
        <v/>
      </c>
      <c r="AD32">
        <f>HYPERLINK("https://klasma.github.io/Logging_FORSKNINGSRESAN_2025_BJURHOLM/fåglar/Stockbäcken prioriterade fågelarter.docx", "Stockbäcken")</f>
        <v/>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HYPERLINK("https://klasma.github.io/Logging_FORSKNINGSRESAN_2025_BJURHOLM/kartor_geotiff/Lögdaselet georefererad karta.tif", "Lögdaselet")</f>
        <v/>
      </c>
      <c r="Y33">
        <f>HYPERLINK("https://klasma.github.io/Logging_FORSKNINGSRESAN_2025_BJURHOLM/knärot/Lögdaselet karta knärot.png", "Lögdaselet")</f>
        <v/>
      </c>
      <c r="Z33">
        <f>HYPERLINK("https://klasma.github.io/Logging_FORSKNINGSRESAN_2025_BJURHOLM/klagomål/Lögdaselet FSC-klagomål.docx", "Lögdaselet")</f>
        <v/>
      </c>
      <c r="AA33">
        <f>HYPERLINK("https://klasma.github.io/Logging_FORSKNINGSRESAN_2025_BJURHOLM/klagomålsmail/Lögdaselet FSC-klagomål mail.docx", "Lögdaselet")</f>
        <v/>
      </c>
      <c r="AB33">
        <f>HYPERLINK("https://klasma.github.io/Logging_FORSKNINGSRESAN_2025_BJURHOLM/tillsyn/Lögdaselet tillsynsbegäran.docx", "Lögdaselet")</f>
        <v/>
      </c>
      <c r="AC33">
        <f>HYPERLINK("https://klasma.github.io/Logging_FORSKNINGSRESAN_2025_BJURHOLM/tillsynsmail/Lögdaselet tillsynsbegäran mail.docx", "Lögdaselet")</f>
        <v/>
      </c>
      <c r="AD33">
        <f>HYPERLINK("https://klasma.github.io/Logging_FORSKNINGSRESAN_2025_BJURHOLM/fåglar/Lögdaselet prioriterade fågelarter.docx", "Lögdaselet")</f>
        <v/>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X34">
        <f>HYPERLINK("https://klasma.github.io/Logging_FORSKNINGSRESAN_2025_BJURHOLM/kartor_geotiff/Holmtjärnen georefererad karta.tif", "Holmtjärnen")</f>
        <v/>
      </c>
      <c r="Z34">
        <f>HYPERLINK("https://klasma.github.io/Logging_FORSKNINGSRESAN_2025_BJURHOLM/klagomål/Holmtjärnen FSC-klagomål.docx", "Holmtjärnen")</f>
        <v/>
      </c>
      <c r="AA34">
        <f>HYPERLINK("https://klasma.github.io/Logging_FORSKNINGSRESAN_2025_BJURHOLM/klagomålsmail/Holmtjärnen FSC-klagomål mail.docx", "Holmtjärnen")</f>
        <v/>
      </c>
      <c r="AB34">
        <f>HYPERLINK("https://klasma.github.io/Logging_FORSKNINGSRESAN_2025_BJURHOLM/tillsyn/Holmtjärnen tillsynsbegäran.docx", "Holmtjärnen")</f>
        <v/>
      </c>
      <c r="AC34">
        <f>HYPERLINK("https://klasma.github.io/Logging_FORSKNINGSRESAN_2025_BJURHOLM/tillsynsmail/Holmtjärnen tillsynsbegäran mail.docx", "Holmtjärnen")</f>
        <v/>
      </c>
      <c r="AD34">
        <f>HYPERLINK("https://klasma.github.io/Logging_FORSKNINGSRESAN_2025_BJURHOLM/fåglar/Holmtjärnen prioriterade fågelarter.docx", "Holmtjärnen")</f>
        <v/>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X35">
        <f>HYPERLINK("https://klasma.github.io/Logging_FORSKNINGSRESAN_2025_BJURHOLM/kartor_geotiff/Aspmyrbäcken georefererad karta.tif", "Aspmyrbäcken")</f>
        <v/>
      </c>
      <c r="Z35">
        <f>HYPERLINK("https://klasma.github.io/Logging_FORSKNINGSRESAN_2025_BJURHOLM/klagomål/Aspmyrbäcken FSC-klagomål.docx", "Aspmyrbäcken")</f>
        <v/>
      </c>
      <c r="AA35">
        <f>HYPERLINK("https://klasma.github.io/Logging_FORSKNINGSRESAN_2025_BJURHOLM/klagomålsmail/Aspmyrbäcken FSC-klagomål mail.docx", "Aspmyrbäcken")</f>
        <v/>
      </c>
      <c r="AB35">
        <f>HYPERLINK("https://klasma.github.io/Logging_FORSKNINGSRESAN_2025_BJURHOLM/tillsyn/Aspmyrbäcken tillsynsbegäran.docx", "Aspmyrbäcken")</f>
        <v/>
      </c>
      <c r="AC35">
        <f>HYPERLINK("https://klasma.github.io/Logging_FORSKNINGSRESAN_2025_BJURHOLM/tillsynsmail/Aspmyrbäcken tillsynsbegäran mail.docx", "Aspmyrbäcken")</f>
        <v/>
      </c>
      <c r="AD35">
        <f>HYPERLINK("https://klasma.github.io/Logging_FORSKNINGSRESAN_2025_BJURHOLM/fåglar/Aspmyrbäcken prioriterade fågelarter.docx", "Aspmyrbäcken")</f>
        <v/>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X36">
        <f>HYPERLINK("https://klasma.github.io/Logging_FORSKNINGSRESAN_2025_BJURHOLM/kartor_geotiff/Gubbmyran georefererad karta.tif", "Gubbmyran")</f>
        <v/>
      </c>
      <c r="Z36">
        <f>HYPERLINK("https://klasma.github.io/Logging_FORSKNINGSRESAN_2025_BJURHOLM/klagomål/Gubbmyran FSC-klagomål.docx", "Gubbmyran")</f>
        <v/>
      </c>
      <c r="AA36">
        <f>HYPERLINK("https://klasma.github.io/Logging_FORSKNINGSRESAN_2025_BJURHOLM/klagomålsmail/Gubbmyran FSC-klagomål mail.docx", "Gubbmyran")</f>
        <v/>
      </c>
      <c r="AB36">
        <f>HYPERLINK("https://klasma.github.io/Logging_FORSKNINGSRESAN_2025_BJURHOLM/tillsyn/Gubbmyran tillsynsbegäran.docx", "Gubbmyran")</f>
        <v/>
      </c>
      <c r="AC36">
        <f>HYPERLINK("https://klasma.github.io/Logging_FORSKNINGSRESAN_2025_BJURHOLM/tillsynsmail/Gubbmyran tillsynsbegäran mail.docx", "Gubbmyran")</f>
        <v/>
      </c>
      <c r="AD36">
        <f>HYPERLINK("https://klasma.github.io/Logging_FORSKNINGSRESAN_2025_BJURHOLM/fåglar/Gubbmyran prioriterade fågelarter.docx", "Gubbmyran")</f>
        <v/>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HYPERLINK("https://klasma.github.io/Logging_FORSKNINGSRESAN_2025_BJURHOLM/kartor_geotiff/Kälkåsen georefererad karta.tif", "Kälkåsen")</f>
        <v/>
      </c>
      <c r="Y37">
        <f>HYPERLINK("https://klasma.github.io/Logging_FORSKNINGSRESAN_2025_BJURHOLM/knärot/Kälkåsen karta knärot.png", "Kälkåsen")</f>
        <v/>
      </c>
      <c r="Z37">
        <f>HYPERLINK("https://klasma.github.io/Logging_FORSKNINGSRESAN_2025_BJURHOLM/klagomål/Kälkåsen FSC-klagomål.docx", "Kälkåsen")</f>
        <v/>
      </c>
      <c r="AA37">
        <f>HYPERLINK("https://klasma.github.io/Logging_FORSKNINGSRESAN_2025_BJURHOLM/klagomålsmail/Kälkåsen FSC-klagomål mail.docx", "Kälkåsen")</f>
        <v/>
      </c>
      <c r="AB37">
        <f>HYPERLINK("https://klasma.github.io/Logging_FORSKNINGSRESAN_2025_BJURHOLM/tillsyn/Kälkåsen tillsynsbegäran.docx", "Kälkåsen")</f>
        <v/>
      </c>
      <c r="AC37">
        <f>HYPERLINK("https://klasma.github.io/Logging_FORSKNINGSRESAN_2025_BJURHOLM/tillsynsmail/Kälkåsen tillsynsbegäran mail.docx", "Kälkåsen")</f>
        <v/>
      </c>
      <c r="AD37">
        <f>HYPERLINK("https://klasma.github.io/Logging_FORSKNINGSRESAN_2025_BJURHOLM/fåglar/Kälkåsen prioriterade fågelarter.docx", "Kälkåsen")</f>
        <v/>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X38">
        <f>HYPERLINK("https://klasma.github.io/Logging_FORSKNINGSRESAN_2025_BJURHOLM/kartor_geotiff/Björnberget N georefererad karta.tif", "Björnberget N")</f>
        <v/>
      </c>
      <c r="Z38">
        <f>HYPERLINK("https://klasma.github.io/Logging_FORSKNINGSRESAN_2025_BJURHOLM/klagomål/Björnberget N FSC-klagomål.docx", "Björnberget N")</f>
        <v/>
      </c>
      <c r="AA38">
        <f>HYPERLINK("https://klasma.github.io/Logging_FORSKNINGSRESAN_2025_BJURHOLM/klagomålsmail/Björnberget N FSC-klagomål mail.docx", "Björnberget N")</f>
        <v/>
      </c>
      <c r="AB38">
        <f>HYPERLINK("https://klasma.github.io/Logging_FORSKNINGSRESAN_2025_BJURHOLM/tillsyn/Björnberget N tillsynsbegäran.docx", "Björnberget N")</f>
        <v/>
      </c>
      <c r="AC38">
        <f>HYPERLINK("https://klasma.github.io/Logging_FORSKNINGSRESAN_2025_BJURHOLM/tillsynsmail/Björnberget N tillsynsbegäran mail.docx", "Björnberget N")</f>
        <v/>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X39">
        <f>HYPERLINK("https://klasma.github.io/Logging_FORSKNINGSRESAN_2025_BJURHOLM/kartor_geotiff/Trollberget georefererad karta.tif", "Trollberget")</f>
        <v/>
      </c>
      <c r="Z39">
        <f>HYPERLINK("https://klasma.github.io/Logging_FORSKNINGSRESAN_2025_BJURHOLM/klagomål/Trollberget FSC-klagomål.docx", "Trollberget")</f>
        <v/>
      </c>
      <c r="AA39">
        <f>HYPERLINK("https://klasma.github.io/Logging_FORSKNINGSRESAN_2025_BJURHOLM/klagomålsmail/Trollberget FSC-klagomål mail.docx", "Trollberget")</f>
        <v/>
      </c>
      <c r="AB39">
        <f>HYPERLINK("https://klasma.github.io/Logging_FORSKNINGSRESAN_2025_BJURHOLM/tillsyn/Trollberget tillsynsbegäran.docx", "Trollberget")</f>
        <v/>
      </c>
      <c r="AC39">
        <f>HYPERLINK("https://klasma.github.io/Logging_FORSKNINGSRESAN_2025_BJURHOLM/tillsynsmail/Trollberget tillsynsbegäran mail.docx", "Trollberget")</f>
        <v/>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X40">
        <f>HYPERLINK("https://klasma.github.io/Logging_FORSKNINGSRESAN_2025_BJURHOLM/kartor_geotiff/Stensjöåsen georefererad karta.tif", "Stensjöåsen")</f>
        <v/>
      </c>
      <c r="Z40">
        <f>HYPERLINK("https://klasma.github.io/Logging_FORSKNINGSRESAN_2025_BJURHOLM/klagomål/Stensjöåsen FSC-klagomål.docx", "Stensjöåsen")</f>
        <v/>
      </c>
      <c r="AA40">
        <f>HYPERLINK("https://klasma.github.io/Logging_FORSKNINGSRESAN_2025_BJURHOLM/klagomålsmail/Stensjöåsen FSC-klagomål mail.docx", "Stensjöåsen")</f>
        <v/>
      </c>
      <c r="AB40">
        <f>HYPERLINK("https://klasma.github.io/Logging_FORSKNINGSRESAN_2025_BJURHOLM/tillsyn/Stensjöåsen tillsynsbegäran.docx", "Stensjöåsen")</f>
        <v/>
      </c>
      <c r="AC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X41">
        <f>HYPERLINK("https://klasma.github.io/Logging_FORSKNINGSRESAN_2025_BJURHOLM/kartor_geotiff/Stor-Svartliden georefererad karta.tif", "Stor-Svartliden")</f>
        <v/>
      </c>
      <c r="Z41">
        <f>HYPERLINK("https://klasma.github.io/Logging_FORSKNINGSRESAN_2025_BJURHOLM/klagomål/Stor-Svartliden FSC-klagomål.docx", "Stor-Svartliden")</f>
        <v/>
      </c>
      <c r="AA41">
        <f>HYPERLINK("https://klasma.github.io/Logging_FORSKNINGSRESAN_2025_BJURHOLM/klagomålsmail/Stor-Svartliden FSC-klagomål mail.docx", "Stor-Svartliden")</f>
        <v/>
      </c>
      <c r="AB41">
        <f>HYPERLINK("https://klasma.github.io/Logging_FORSKNINGSRESAN_2025_BJURHOLM/tillsyn/Stor-Svartliden tillsynsbegäran.docx", "Stor-Svartliden")</f>
        <v/>
      </c>
      <c r="AC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X42">
        <f>HYPERLINK("https://klasma.github.io/Logging_FORSKNINGSRESAN_2025_BJURHOLM/kartor_geotiff/Blåbergssjön georefererad karta.tif", "Blåbergssjön")</f>
        <v/>
      </c>
      <c r="Z42">
        <f>HYPERLINK("https://klasma.github.io/Logging_FORSKNINGSRESAN_2025_BJURHOLM/klagomål/Blåbergssjön FSC-klagomål.docx", "Blåbergssjön")</f>
        <v/>
      </c>
      <c r="AA42">
        <f>HYPERLINK("https://klasma.github.io/Logging_FORSKNINGSRESAN_2025_BJURHOLM/klagomålsmail/Blåbergssjön FSC-klagomål mail.docx", "Blåbergssjön")</f>
        <v/>
      </c>
      <c r="AB42">
        <f>HYPERLINK("https://klasma.github.io/Logging_FORSKNINGSRESAN_2025_BJURHOLM/tillsyn/Blåbergssjön tillsynsbegäran.docx", "Blåbergssjön")</f>
        <v/>
      </c>
      <c r="AC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HYPERLINK("https://klasma.github.io/Logging_FORSKNINGSRESAN_2025_BJURHOLM/kartor_geotiff/Gåstjärnen georefererad karta.tif", "Gåstjärnen")</f>
        <v/>
      </c>
      <c r="Y43">
        <f>HYPERLINK("https://klasma.github.io/Logging_FORSKNINGSRESAN_2025_BJURHOLM/knärot/Gåstjärnen karta knärot.png", "Gåstjärnen")</f>
        <v/>
      </c>
      <c r="Z43">
        <f>HYPERLINK("https://klasma.github.io/Logging_FORSKNINGSRESAN_2025_BJURHOLM/klagomål/Gåstjärnen FSC-klagomål.docx", "Gåstjärnen")</f>
        <v/>
      </c>
      <c r="AA43">
        <f>HYPERLINK("https://klasma.github.io/Logging_FORSKNINGSRESAN_2025_BJURHOLM/klagomålsmail/Gåstjärnen FSC-klagomål mail.docx", "Gåstjärnen")</f>
        <v/>
      </c>
      <c r="AB43">
        <f>HYPERLINK("https://klasma.github.io/Logging_FORSKNINGSRESAN_2025_BJURHOLM/tillsyn/Gåstjärnen tillsynsbegäran.docx", "Gåstjärnen")</f>
        <v/>
      </c>
      <c r="AC43">
        <f>HYPERLINK("https://klasma.github.io/Logging_FORSKNINGSRESAN_2025_BJURHOLM/tillsynsmail/Gåstjärnen tillsynsbegäran mail.docx", "Gåstjärnen")</f>
        <v/>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X44">
        <f>HYPERLINK("https://klasma.github.io/Logging_FORSKNINGSRESAN_2025_BJURHOLM/kartor_geotiff/Stornäsholmen georefererad karta.tif", "Stornäsholmen")</f>
        <v/>
      </c>
      <c r="Z44">
        <f>HYPERLINK("https://klasma.github.io/Logging_FORSKNINGSRESAN_2025_BJURHOLM/klagomål/Stornäsholmen FSC-klagomål.docx", "Stornäsholmen")</f>
        <v/>
      </c>
      <c r="AA44">
        <f>HYPERLINK("https://klasma.github.io/Logging_FORSKNINGSRESAN_2025_BJURHOLM/klagomålsmail/Stornäsholmen FSC-klagomål mail.docx", "Stornäsholmen")</f>
        <v/>
      </c>
      <c r="AB44">
        <f>HYPERLINK("https://klasma.github.io/Logging_FORSKNINGSRESAN_2025_BJURHOLM/tillsyn/Stornäsholmen tillsynsbegäran.docx", "Stornäsholmen")</f>
        <v/>
      </c>
      <c r="AC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X45">
        <f>HYPERLINK("https://klasma.github.io/Logging_FORSKNINGSRESAN_2025_BJURHOLM/kartor_geotiff/Käringberget SO georefererad karta.tif", "Käringberget SO")</f>
        <v/>
      </c>
      <c r="Z45">
        <f>HYPERLINK("https://klasma.github.io/Logging_FORSKNINGSRESAN_2025_BJURHOLM/klagomål/Käringberget SO FSC-klagomål.docx", "Käringberget SO")</f>
        <v/>
      </c>
      <c r="AA45">
        <f>HYPERLINK("https://klasma.github.io/Logging_FORSKNINGSRESAN_2025_BJURHOLM/klagomålsmail/Käringberget SO FSC-klagomål mail.docx", "Käringberget SO")</f>
        <v/>
      </c>
      <c r="AB45">
        <f>HYPERLINK("https://klasma.github.io/Logging_FORSKNINGSRESAN_2025_BJURHOLM/tillsyn/Käringberget SO tillsynsbegäran.docx", "Käringberget SO")</f>
        <v/>
      </c>
      <c r="AC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X46">
        <f>HYPERLINK("https://klasma.github.io/Logging_FORSKNINGSRESAN_2025_BJURHOLM/kartor_geotiff/Tosktjärnberget georefererad karta.tif", "Tosktjärnberget")</f>
        <v/>
      </c>
      <c r="Z46">
        <f>HYPERLINK("https://klasma.github.io/Logging_FORSKNINGSRESAN_2025_BJURHOLM/klagomål/Tosktjärnberget FSC-klagomål.docx", "Tosktjärnberget")</f>
        <v/>
      </c>
      <c r="AA46">
        <f>HYPERLINK("https://klasma.github.io/Logging_FORSKNINGSRESAN_2025_BJURHOLM/klagomålsmail/Tosktjärnberget FSC-klagomål mail.docx", "Tosktjärnberget")</f>
        <v/>
      </c>
      <c r="AB46">
        <f>HYPERLINK("https://klasma.github.io/Logging_FORSKNINGSRESAN_2025_BJURHOLM/tillsyn/Tosktjärnberget tillsynsbegäran.docx", "Tosktjärnberget")</f>
        <v/>
      </c>
      <c r="AC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X47">
        <f>HYPERLINK("https://klasma.github.io/Logging_FORSKNINGSRESAN_2025_BJURHOLM/kartor_geotiff/Lill-Smaltjärnen georefererad karta.tif", "Lill-Smaltjärnen")</f>
        <v/>
      </c>
      <c r="Z47">
        <f>HYPERLINK("https://klasma.github.io/Logging_FORSKNINGSRESAN_2025_BJURHOLM/klagomål/Lill-Smaltjärnen FSC-klagomål.docx", "Lill-Smaltjärnen")</f>
        <v/>
      </c>
      <c r="AA47">
        <f>HYPERLINK("https://klasma.github.io/Logging_FORSKNINGSRESAN_2025_BJURHOLM/klagomålsmail/Lill-Smaltjärnen FSC-klagomål mail.docx", "Lill-Smaltjärnen")</f>
        <v/>
      </c>
      <c r="AB47">
        <f>HYPERLINK("https://klasma.github.io/Logging_FORSKNINGSRESAN_2025_BJURHOLM/tillsyn/Lill-Smaltjärnen tillsynsbegäran.docx", "Lill-Smaltjärnen")</f>
        <v/>
      </c>
      <c r="AC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X48">
        <f>HYPERLINK("https://klasma.github.io/Logging_FORSKNINGSRESAN_2025_BJURHOLM/kartor_geotiff/Alingsås georefererad karta.tif", "Alingsås")</f>
        <v/>
      </c>
      <c r="Z48">
        <f>HYPERLINK("https://klasma.github.io/Logging_FORSKNINGSRESAN_2025_BJURHOLM/klagomål/Alingsås FSC-klagomål.docx", "Alingsås")</f>
        <v/>
      </c>
      <c r="AA48">
        <f>HYPERLINK("https://klasma.github.io/Logging_FORSKNINGSRESAN_2025_BJURHOLM/klagomålsmail/Alingsås FSC-klagomål mail.docx", "Alingsås")</f>
        <v/>
      </c>
      <c r="AB48">
        <f>HYPERLINK("https://klasma.github.io/Logging_FORSKNINGSRESAN_2025_BJURHOLM/tillsyn/Alingsås tillsynsbegäran.docx", "Alingsås")</f>
        <v/>
      </c>
      <c r="AC48">
        <f>HYPERLINK("https://klasma.github.io/Logging_FORSKNINGSRESAN_2025_BJURHOLM/tillsynsmail/Alingsås tillsynsbegäran mail.docx", "Alingsås")</f>
        <v/>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X49">
        <f>HYPERLINK("https://klasma.github.io/Logging_FORSKNINGSRESAN_2025_BJURHOLM/kartor_geotiff/Norrnäs georefererad karta.tif", "Norrnäs")</f>
        <v/>
      </c>
      <c r="Z49">
        <f>HYPERLINK("https://klasma.github.io/Logging_FORSKNINGSRESAN_2025_BJURHOLM/klagomål/Norrnäs FSC-klagomål.docx", "Norrnäs")</f>
        <v/>
      </c>
      <c r="AA49">
        <f>HYPERLINK("https://klasma.github.io/Logging_FORSKNINGSRESAN_2025_BJURHOLM/klagomålsmail/Norrnäs FSC-klagomål mail.docx", "Norrnäs")</f>
        <v/>
      </c>
      <c r="AB49">
        <f>HYPERLINK("https://klasma.github.io/Logging_FORSKNINGSRESAN_2025_BJURHOLM/tillsyn/Norrnäs tillsynsbegäran.docx", "Norrnäs")</f>
        <v/>
      </c>
      <c r="AC49">
        <f>HYPERLINK("https://klasma.github.io/Logging_FORSKNINGSRESAN_2025_BJURHOLM/tillsynsmail/Norrnäs tillsynsbegäran mail.docx", "Norrnäs")</f>
        <v/>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X50">
        <f>HYPERLINK("https://klasma.github.io/Logging_FORSKNINGSRESAN_2025_BJURHOLM/kartor_geotiff/Vitstensberget V georefererad karta.tif", "Vitstensberget V")</f>
        <v/>
      </c>
      <c r="Z50">
        <f>HYPERLINK("https://klasma.github.io/Logging_FORSKNINGSRESAN_2025_BJURHOLM/klagomål/Vitstensberget V FSC-klagomål.docx", "Vitstensberget V")</f>
        <v/>
      </c>
      <c r="AA50">
        <f>HYPERLINK("https://klasma.github.io/Logging_FORSKNINGSRESAN_2025_BJURHOLM/klagomålsmail/Vitstensberget V FSC-klagomål mail.docx", "Vitstensberget V")</f>
        <v/>
      </c>
      <c r="AB50">
        <f>HYPERLINK("https://klasma.github.io/Logging_FORSKNINGSRESAN_2025_BJURHOLM/tillsyn/Vitstensberget V tillsynsbegäran.docx", "Vitstensberget V")</f>
        <v/>
      </c>
      <c r="AC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X51">
        <f>HYPERLINK("https://klasma.github.io/Logging_FORSKNINGSRESAN_2025_BJURHOLM/kartor_geotiff/Lubbliden georefererad karta.tif", "Lubbliden")</f>
        <v/>
      </c>
      <c r="Z51">
        <f>HYPERLINK("https://klasma.github.io/Logging_FORSKNINGSRESAN_2025_BJURHOLM/klagomål/Lubbliden FSC-klagomål.docx", "Lubbliden")</f>
        <v/>
      </c>
      <c r="AA51">
        <f>HYPERLINK("https://klasma.github.io/Logging_FORSKNINGSRESAN_2025_BJURHOLM/klagomålsmail/Lubbliden FSC-klagomål mail.docx", "Lubbliden")</f>
        <v/>
      </c>
      <c r="AB51">
        <f>HYPERLINK("https://klasma.github.io/Logging_FORSKNINGSRESAN_2025_BJURHOLM/tillsyn/Lubbliden tillsynsbegäran.docx", "Lubbliden")</f>
        <v/>
      </c>
      <c r="AC51">
        <f>HYPERLINK("https://klasma.github.io/Logging_FORSKNINGSRESAN_2025_BJURHOLM/tillsynsmail/Lubbliden tillsynsbegäran mail.docx", "Lubbliden")</f>
        <v/>
      </c>
      <c r="AD51">
        <f>HYPERLINK("https://klasma.github.io/Logging_FORSKNINGSRESAN_2025_BJURHOLM/fåglar/Lubbliden prioriterade fågelarter.docx", "Lubbliden")</f>
        <v/>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X52">
        <f>HYPERLINK("https://klasma.github.io/Logging_FORSKNINGSRESAN_2025_BJURHOLM/kartor_geotiff/Lögdeälven georefererad karta.tif", "Lögdeälven")</f>
        <v/>
      </c>
      <c r="Z52">
        <f>HYPERLINK("https://klasma.github.io/Logging_FORSKNINGSRESAN_2025_BJURHOLM/klagomål/Lögdeälven FSC-klagomål.docx", "Lögdeälven")</f>
        <v/>
      </c>
      <c r="AA52">
        <f>HYPERLINK("https://klasma.github.io/Logging_FORSKNINGSRESAN_2025_BJURHOLM/klagomålsmail/Lögdeälven FSC-klagomål mail.docx", "Lögdeälven")</f>
        <v/>
      </c>
      <c r="AB52">
        <f>HYPERLINK("https://klasma.github.io/Logging_FORSKNINGSRESAN_2025_BJURHOLM/tillsyn/Lögdeälven tillsynsbegäran.docx", "Lögdeälven")</f>
        <v/>
      </c>
      <c r="AC52">
        <f>HYPERLINK("https://klasma.github.io/Logging_FORSKNINGSRESAN_2025_BJURHOLM/tillsynsmail/Lögdeälven tillsynsbegäran mail.docx", "Lögdeälven")</f>
        <v/>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X53">
        <f>HYPERLINK("https://klasma.github.io/Logging_FORSKNINGSRESAN_2025_BJURHOLM/kartor_geotiff/Lustigbacken georefererad karta.tif", "Lustigbacken")</f>
        <v/>
      </c>
      <c r="Z53">
        <f>HYPERLINK("https://klasma.github.io/Logging_FORSKNINGSRESAN_2025_BJURHOLM/klagomål/Lustigbacken FSC-klagomål.docx", "Lustigbacken")</f>
        <v/>
      </c>
      <c r="AA53">
        <f>HYPERLINK("https://klasma.github.io/Logging_FORSKNINGSRESAN_2025_BJURHOLM/klagomålsmail/Lustigbacken FSC-klagomål mail.docx", "Lustigbacken")</f>
        <v/>
      </c>
      <c r="AB53">
        <f>HYPERLINK("https://klasma.github.io/Logging_FORSKNINGSRESAN_2025_BJURHOLM/tillsyn/Lustigbacken tillsynsbegäran.docx", "Lustigbacken")</f>
        <v/>
      </c>
      <c r="AC53">
        <f>HYPERLINK("https://klasma.github.io/Logging_FORSKNINGSRESAN_2025_BJURHOLM/tillsynsmail/Lustigbacken tillsynsbegäran mail.docx", "Lustigbacken")</f>
        <v/>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X54">
        <f>HYPERLINK("https://klasma.github.io/Logging_FORSKNINGSRESAN_2025_BJURHOLM/kartor_geotiff/Tomasmyren SO georefererad karta.tif", "Tomasmyren SO")</f>
        <v/>
      </c>
      <c r="Z54">
        <f>HYPERLINK("https://klasma.github.io/Logging_FORSKNINGSRESAN_2025_BJURHOLM/klagomål/Tomasmyren SO FSC-klagomål.docx", "Tomasmyren SO")</f>
        <v/>
      </c>
      <c r="AA54">
        <f>HYPERLINK("https://klasma.github.io/Logging_FORSKNINGSRESAN_2025_BJURHOLM/klagomålsmail/Tomasmyren SO FSC-klagomål mail.docx", "Tomasmyren SO")</f>
        <v/>
      </c>
      <c r="AB54">
        <f>HYPERLINK("https://klasma.github.io/Logging_FORSKNINGSRESAN_2025_BJURHOLM/tillsyn/Tomasmyren SO tillsynsbegäran.docx", "Tomasmyren SO")</f>
        <v/>
      </c>
      <c r="AC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X55">
        <f>HYPERLINK("https://klasma.github.io/Logging_FORSKNINGSRESAN_2025_BJURHOLM/kartor_geotiff/Lill-Lögdåberget V georefererad karta.tif", "Lill-Lögdåberget V")</f>
        <v/>
      </c>
      <c r="Z55">
        <f>HYPERLINK("https://klasma.github.io/Logging_FORSKNINGSRESAN_2025_BJURHOLM/klagomål/Lill-Lögdåberget V FSC-klagomål.docx", "Lill-Lögdåberget V")</f>
        <v/>
      </c>
      <c r="AA55">
        <f>HYPERLINK("https://klasma.github.io/Logging_FORSKNINGSRESAN_2025_BJURHOLM/klagomålsmail/Lill-Lögdåberget V FSC-klagomål mail.docx", "Lill-Lögdåberget V")</f>
        <v/>
      </c>
      <c r="AB55">
        <f>HYPERLINK("https://klasma.github.io/Logging_FORSKNINGSRESAN_2025_BJURHOLM/tillsyn/Lill-Lögdåberget V tillsynsbegäran.docx", "Lill-Lögdåberget V")</f>
        <v/>
      </c>
      <c r="AC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2026-07-19T15:39:18Z</dcterms:created>
  <dcterms:modified xmlns:dcterms="http://purl.org/dc/terms/" xmlns:xsi="http://www.w3.org/2001/XMLSchema-instance" xsi:type="dcterms:W3CDTF">2026-07-19T15:39:18Z</dcterms:modified>
</cp:coreProperties>
</file>