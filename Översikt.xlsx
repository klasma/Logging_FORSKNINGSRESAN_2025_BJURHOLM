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Antal fynd</t>
        </is>
      </c>
      <c r="U1" t="inlineStr">
        <is>
          <t>Artnamn</t>
        </is>
      </c>
      <c r="V1" t="inlineStr">
        <is>
          <t>Artfyndslänk</t>
        </is>
      </c>
      <c r="W1" t="inlineStr">
        <is>
          <t>Kartlänk</t>
        </is>
      </c>
      <c r="X1" t="inlineStr">
        <is>
          <t>Knärotsbuffertlänk</t>
        </is>
      </c>
      <c r="Y1" t="inlineStr">
        <is>
          <t>Klagomålslänk</t>
        </is>
      </c>
      <c r="Z1" t="inlineStr">
        <is>
          <t>Klagomålsmaillänk</t>
        </is>
      </c>
      <c r="AA1" t="inlineStr">
        <is>
          <t>Tillsynsbegäranslänk</t>
        </is>
      </c>
      <c r="AB1" t="inlineStr">
        <is>
          <t>Tillsynsbegäransmaillänk</t>
        </is>
      </c>
      <c r="AC1" t="inlineStr">
        <is>
          <t>Fågeltillsynsbegäranslänk</t>
        </is>
      </c>
    </row>
    <row r="2" ht="15" customHeight="1">
      <c r="A2" t="inlineStr">
        <is>
          <t>Råtjärnberget</t>
        </is>
      </c>
      <c r="B2" t="inlineStr">
        <is>
          <t>avverkningsanmälan</t>
        </is>
      </c>
      <c r="D2" s="1" t="n">
        <v>46221</v>
      </c>
      <c r="E2" s="1" t="n">
        <v>46221</v>
      </c>
      <c r="F2" t="inlineStr"/>
      <c r="G2" t="inlineStr">
        <is>
          <t>Bjurholm</t>
        </is>
      </c>
      <c r="H2" t="inlineStr">
        <is>
          <t>Sveaskog</t>
        </is>
      </c>
      <c r="I2" t="n">
        <v>240.4</v>
      </c>
      <c r="J2" t="n">
        <v>17</v>
      </c>
      <c r="K2" t="n">
        <v>22</v>
      </c>
      <c r="L2" t="n">
        <v>35</v>
      </c>
      <c r="M2" t="n">
        <v>10</v>
      </c>
      <c r="N2" t="n">
        <v>1</v>
      </c>
      <c r="O2" t="n">
        <v>0</v>
      </c>
      <c r="P2" t="n">
        <v>0</v>
      </c>
      <c r="Q2" t="n">
        <v>46</v>
      </c>
      <c r="R2" t="n">
        <v>11</v>
      </c>
      <c r="S2" t="n">
        <v>77</v>
      </c>
      <c r="T2" t="n">
        <v>806</v>
      </c>
      <c r="U2" s="2" t="inlineStr">
        <is>
          <t>Pärluggla
Aspgelélav
Doftticka
Fläckporing
Garnlav
Gräddporing
Gränsticka
Knärot
Liten aspgelélav
Läderlappslav
Starrgräsfjäril
Aspbarkgnagare
Baltiskt skogsfly
Barkporlav
Blanksvart spiklav
Blågrå svartspik
Doftskinn
Dropptaggsvamp
Dvärgbägarlav
Gammelgransskål
Grå blåbärsfältmätare
Hornvaxskinn
Kandelabersvamp
Kolflarnlav
Kortskaftad ärgspik
Liten svartspik
Lunglav
Mörk kolflarnlav
Nordlig nållav
Nordtagging
Reliktbock
Rosenticka
Rynkskinn
Rödvingetrast
Småflikig brosklav
Sotvaxskivling
Stiftgelélav
Talltagel
Talltita
Tretåig hackspett
Ullticka
Vedflamlav
Vedskivlav
Vedtrappmossa
Violettgrå tagellav
Vitgrynig nållav
Aspvedgnagare
Barkkornlav
Blodticka
Bårdlav
Dvärgtufs
Gytterlav
Luddlav
Mindre märgborre
Norrlandslav
Nästlav
Plattlummer
Robust tickgnagare
Rävticka
Skinnlav
Spindelblomster
Spädstarr
Stekelbock
Stor aspticka
Stuplav
Traslav
Vedticka
Ögonpyrola
Järpe
Spillkråka
Tjäder
Grönsiska
Kungsfågel
Fläcknycklar
Nattviol
Lopplummer (aggregat)
Revlummer</t>
        </is>
      </c>
      <c r="V2">
        <f>HYPERLINK("https://klasma.github.io/Logging_FORSKNINGSRESAN_2025_BJURHOLM/artfynd/Råtjärnberget artfynd.xlsx", "Råtjärnberget")</f>
        <v/>
      </c>
      <c r="W2">
        <f>HYPERLINK("https://klasma.github.io/Logging_FORSKNINGSRESAN_2025_BJURHOLM/kartor/Råtjärnberget karta.png", "Råtjärnberget")</f>
        <v/>
      </c>
      <c r="X2">
        <f>HYPERLINK("https://klasma.github.io/Logging_FORSKNINGSRESAN_2025_BJURHOLM/knärot/Råtjärnberget karta knärot.png", "Råtjärnberget")</f>
        <v/>
      </c>
      <c r="Y2">
        <f>HYPERLINK("https://klasma.github.io/Logging_FORSKNINGSRESAN_2025_BJURHOLM/klagomål/Råtjärnberget FSC-klagomål.docx", "Råtjärnberget")</f>
        <v/>
      </c>
      <c r="Z2">
        <f>HYPERLINK("https://klasma.github.io/Logging_FORSKNINGSRESAN_2025_BJURHOLM/klagomålsmail/Råtjärnberget FSC-klagomål mail.docx", "Råtjärnberget")</f>
        <v/>
      </c>
      <c r="AA2">
        <f>HYPERLINK("https://klasma.github.io/Logging_FORSKNINGSRESAN_2025_BJURHOLM/tillsyn/Råtjärnberget tillsynsbegäran.docx", "Råtjärnberget")</f>
        <v/>
      </c>
      <c r="AB2">
        <f>HYPERLINK("https://klasma.github.io/Logging_FORSKNINGSRESAN_2025_BJURHOLM/tillsynsmail/Råtjärnberget tillsynsbegäran mail.docx", "Råtjärnberget")</f>
        <v/>
      </c>
      <c r="AC2">
        <f>HYPERLINK("https://klasma.github.io/Logging_FORSKNINGSRESAN_2025_BJURHOLM/fåglar/Råtjärnberget prioriterade fågelarter.docx", "Råtjärnberget")</f>
        <v/>
      </c>
    </row>
    <row r="3" ht="15" customHeight="1">
      <c r="A3" t="inlineStr">
        <is>
          <t>Kravattensliden</t>
        </is>
      </c>
      <c r="B3" t="inlineStr">
        <is>
          <t>avverkningsanmälan</t>
        </is>
      </c>
      <c r="D3" s="1" t="n">
        <v>46221</v>
      </c>
      <c r="E3" s="1" t="n">
        <v>46221</v>
      </c>
      <c r="F3" t="inlineStr"/>
      <c r="G3" t="inlineStr">
        <is>
          <t>Bjurholm</t>
        </is>
      </c>
      <c r="H3" t="inlineStr">
        <is>
          <t>Holmen skog AB</t>
        </is>
      </c>
      <c r="I3" t="n">
        <v>535.2</v>
      </c>
      <c r="J3" t="n">
        <v>14</v>
      </c>
      <c r="K3" t="n">
        <v>21</v>
      </c>
      <c r="L3" t="n">
        <v>28</v>
      </c>
      <c r="M3" t="n">
        <v>12</v>
      </c>
      <c r="N3" t="n">
        <v>1</v>
      </c>
      <c r="O3" t="n">
        <v>0</v>
      </c>
      <c r="P3" t="n">
        <v>0</v>
      </c>
      <c r="Q3" t="n">
        <v>41</v>
      </c>
      <c r="R3" t="n">
        <v>13</v>
      </c>
      <c r="S3" t="n">
        <v>69</v>
      </c>
      <c r="T3" t="n">
        <v>777</v>
      </c>
      <c r="U3" s="2" t="inlineStr">
        <is>
          <t>Långskägg
Fläckporing
Garnlav
Gränsticka
Knärot
Kristallticka
Lappticka
Liten aspgelélav
Norsk näverlav
Ostticka
Ringlav
Skuggnål
Ulltickeporing
Blanksvart spiklav
Blek lundlav
Blågrå svartspik
Doftskinn
Dvärgbägarlav
Gammelgransskål
Grönhjon
Harticka
Kattfotslav
Kolflarnlav
Lavskrika
Lunglav
Mörk kolflarnlav
Oljetagging
Rosenticka
Rynkskinn
Skrovellav
Småflikig brosklav
Stjärntagging
Tallticka
Talltita
Tretåig hackspett
Ullticka
Vedflamlav
Vedskivlav
Violettgrå tagellav
Violmussling
Vitgrynig nållav
Barkticka
Blodticka
Bronshjon
Bårdlav
Dvärgtufs
Granbarkgnagare
Korallblylav
Luddlav
Mindre märgborre
Mörk husmossa
Plattlummer
Skinnlav
Spindelblomster
Stuplav
Svart trolldruva
Thomsons trägnagare
Thymalus limbatus
Trådticka
Vedticka
Vågbandad barkbock
Ögonpyrola
Spillkråka
Tjäder
Kungsfågel
Huggorm
Fläcknycklar
Nattviol
Revlummer</t>
        </is>
      </c>
      <c r="V3">
        <f>HYPERLINK("https://klasma.github.io/Logging_FORSKNINGSRESAN_2025_BJURHOLM/artfynd/Kravattensliden artfynd.xlsx", "Kravattensliden")</f>
        <v/>
      </c>
      <c r="W3">
        <f>HYPERLINK("https://klasma.github.io/Logging_FORSKNINGSRESAN_2025_BJURHOLM/kartor/Kravattensliden karta.png", "Kravattensliden")</f>
        <v/>
      </c>
      <c r="X3">
        <f>HYPERLINK("https://klasma.github.io/Logging_FORSKNINGSRESAN_2025_BJURHOLM/knärot/Kravattensliden karta knärot.png", "Kravattensliden")</f>
        <v/>
      </c>
      <c r="Y3">
        <f>HYPERLINK("https://klasma.github.io/Logging_FORSKNINGSRESAN_2025_BJURHOLM/klagomål/Kravattensliden FSC-klagomål.docx", "Kravattensliden")</f>
        <v/>
      </c>
      <c r="Z3">
        <f>HYPERLINK("https://klasma.github.io/Logging_FORSKNINGSRESAN_2025_BJURHOLM/klagomålsmail/Kravattensliden FSC-klagomål mail.docx", "Kravattensliden")</f>
        <v/>
      </c>
      <c r="AA3">
        <f>HYPERLINK("https://klasma.github.io/Logging_FORSKNINGSRESAN_2025_BJURHOLM/tillsyn/Kravattensliden tillsynsbegäran.docx", "Kravattensliden")</f>
        <v/>
      </c>
      <c r="AB3">
        <f>HYPERLINK("https://klasma.github.io/Logging_FORSKNINGSRESAN_2025_BJURHOLM/tillsynsmail/Kravattensliden tillsynsbegäran mail.docx", "Kravattensliden")</f>
        <v/>
      </c>
      <c r="AC3">
        <f>HYPERLINK("https://klasma.github.io/Logging_FORSKNINGSRESAN_2025_BJURHOLM/fåglar/Kravattensliden prioriterade fågelarter.docx", "Kravattensliden")</f>
        <v/>
      </c>
    </row>
    <row r="4" ht="15" customHeight="1">
      <c r="A4" t="inlineStr">
        <is>
          <t>Röjdtjärnliden</t>
        </is>
      </c>
      <c r="B4" t="inlineStr">
        <is>
          <t>avverkningsanmälan</t>
        </is>
      </c>
      <c r="D4" s="1" t="n">
        <v>46221</v>
      </c>
      <c r="E4" s="1" t="n">
        <v>46221</v>
      </c>
      <c r="F4" t="inlineStr"/>
      <c r="G4" t="inlineStr">
        <is>
          <t>Bjurholm</t>
        </is>
      </c>
      <c r="H4" t="inlineStr">
        <is>
          <t>SCA</t>
        </is>
      </c>
      <c r="I4" t="n">
        <v>80.90000000000001</v>
      </c>
      <c r="J4" t="n">
        <v>15</v>
      </c>
      <c r="K4" t="n">
        <v>18</v>
      </c>
      <c r="L4" t="n">
        <v>25</v>
      </c>
      <c r="M4" t="n">
        <v>9</v>
      </c>
      <c r="N4" t="n">
        <v>0</v>
      </c>
      <c r="O4" t="n">
        <v>0</v>
      </c>
      <c r="P4" t="n">
        <v>0</v>
      </c>
      <c r="Q4" t="n">
        <v>34</v>
      </c>
      <c r="R4" t="n">
        <v>9</v>
      </c>
      <c r="S4" t="n">
        <v>61</v>
      </c>
      <c r="T4" t="n">
        <v>611</v>
      </c>
      <c r="U4" s="2" t="inlineStr">
        <is>
          <t>Fläckporing
Garnlav
Gräddporing
Gräddticka
Knärot
Läderlappslav
Smalfotad taggsvamp
Tajgataggsvamp
Tornseglare
Blanksvart spiklav
Blågrå svartspik
Dropptaggsvamp
Dvärgbägarlav
Grå blåbärsfältmätare
Grönhjon
Kolflarnlav
Kortskaftad ärgspik
Kötticka
Lunglav
Mörk kolflarnlav
Reliktbock
Rynkskinn
Stiftgelélav
Stjärntagging
Talltagel
Tallticka
Talltita
Tretåig hackspett
Ullticka
Vedflamlav
Vedskivlav
Vedtrappmossa
Vitgrynig nållav
Vitplätt
Barkticka
Björksplintborre
Bronshjon
Bårdlav
Dvärgtufs
Grönpyrola
Gulnål
Gytterlav
Korallblylav
Kornig nållav
Källmossa
Norrlandslav
Plattlummer
Skinnlav
Spindelblomster
Stor aspticka
Stuplav
Vedticka
Järpe
Spillkråka
Tjäder
Kungsfågel
Huggorm
Vanlig groda
Fläcknycklar
Nattviol
Revlummer</t>
        </is>
      </c>
      <c r="V4">
        <f>HYPERLINK("https://klasma.github.io/Logging_FORSKNINGSRESAN_2025_BJURHOLM/artfynd/Röjdtjärnliden artfynd.xlsx", "Röjdtjärnliden")</f>
        <v/>
      </c>
      <c r="W4">
        <f>HYPERLINK("https://klasma.github.io/Logging_FORSKNINGSRESAN_2025_BJURHOLM/kartor/Röjdtjärnliden karta.png", "Röjdtjärnliden")</f>
        <v/>
      </c>
      <c r="X4">
        <f>HYPERLINK("https://klasma.github.io/Logging_FORSKNINGSRESAN_2025_BJURHOLM/knärot/Röjdtjärnliden karta knärot.png", "Röjdtjärnliden")</f>
        <v/>
      </c>
      <c r="Y4">
        <f>HYPERLINK("https://klasma.github.io/Logging_FORSKNINGSRESAN_2025_BJURHOLM/klagomål/Röjdtjärnliden FSC-klagomål.docx", "Röjdtjärnliden")</f>
        <v/>
      </c>
      <c r="Z4">
        <f>HYPERLINK("https://klasma.github.io/Logging_FORSKNINGSRESAN_2025_BJURHOLM/klagomålsmail/Röjdtjärnliden FSC-klagomål mail.docx", "Röjdtjärnliden")</f>
        <v/>
      </c>
      <c r="AA4">
        <f>HYPERLINK("https://klasma.github.io/Logging_FORSKNINGSRESAN_2025_BJURHOLM/tillsyn/Röjdtjärnliden tillsynsbegäran.docx", "Röjdtjärnliden")</f>
        <v/>
      </c>
      <c r="AB4">
        <f>HYPERLINK("https://klasma.github.io/Logging_FORSKNINGSRESAN_2025_BJURHOLM/tillsynsmail/Röjdtjärnliden tillsynsbegäran mail.docx", "Röjdtjärnliden")</f>
        <v/>
      </c>
      <c r="AC4">
        <f>HYPERLINK("https://klasma.github.io/Logging_FORSKNINGSRESAN_2025_BJURHOLM/fåglar/Röjdtjärnliden prioriterade fågelarter.docx", "Röjdtjärnliden")</f>
        <v/>
      </c>
    </row>
    <row r="5" ht="15" customHeight="1">
      <c r="A5" t="inlineStr">
        <is>
          <t>Lillgoberget</t>
        </is>
      </c>
      <c r="B5" t="inlineStr">
        <is>
          <t>avverkningsanmälan</t>
        </is>
      </c>
      <c r="D5" s="1" t="n">
        <v>46221</v>
      </c>
      <c r="E5" s="1" t="n">
        <v>46221</v>
      </c>
      <c r="F5" t="inlineStr"/>
      <c r="G5" t="inlineStr">
        <is>
          <t>Bjurholm</t>
        </is>
      </c>
      <c r="H5" t="inlineStr">
        <is>
          <t>Holmen skog AB</t>
        </is>
      </c>
      <c r="I5" t="n">
        <v>102.2</v>
      </c>
      <c r="J5" t="n">
        <v>11</v>
      </c>
      <c r="K5" t="n">
        <v>26</v>
      </c>
      <c r="L5" t="n">
        <v>20</v>
      </c>
      <c r="M5" t="n">
        <v>7</v>
      </c>
      <c r="N5" t="n">
        <v>0</v>
      </c>
      <c r="O5" t="n">
        <v>0</v>
      </c>
      <c r="P5" t="n">
        <v>0</v>
      </c>
      <c r="Q5" t="n">
        <v>27</v>
      </c>
      <c r="R5" t="n">
        <v>7</v>
      </c>
      <c r="S5" t="n">
        <v>58</v>
      </c>
      <c r="T5" t="n">
        <v>376</v>
      </c>
      <c r="U5" s="2" t="inlineStr">
        <is>
          <t>Garnlav
Knärot
Lappticka
Liten aspgelélav
Läderdoftande fingersvamp
Ulltickeporing
Ängsblåvinge
Dropptaggsvamp
Gammelgransskål
Grantaggsvamp
Grynig filtlav
Grå blåbärsfältmätare
Kortskaftad ärgspik
Lavskrika
Luddfingersvamp
Lunglav
Månlåsbräken
Rosenticka
Rynkskinn
Silverfläckspraktmal
Skrovellav
Stiftgelélav
Talltita
Tretåig hackspett
Ullticka
Vedtrappmossa
Vitgrynig nållav
Bollvitmossa
Broskvaxing
Bårdlav
Granbarkgnagare
Grönpyrola
Gulnål
Gulpudrad spiklav
Korallblylav
Korallrot
Källpraktmossa
Luddlav
Norrlandslav
Nästlav
Skinnlav
Småvaxing
Spindelblomster
Sprödvaxing
Spädstarr
Stor aspticka
Stuplav
Thomsons trägnagare
Vedticka
Vitvaxing agg.
Ängsfingersvamp
Ängsvaxing agg.
Ögonpyrola
Spillkråka
Kungsfågel
Fläcknycklar
Nattviol
Revlummer</t>
        </is>
      </c>
      <c r="V5">
        <f>HYPERLINK("https://klasma.github.io/Logging_FORSKNINGSRESAN_2025_BJURHOLM/artfynd/Lillgoberget artfynd.xlsx", "Lillgoberget")</f>
        <v/>
      </c>
      <c r="W5">
        <f>HYPERLINK("https://klasma.github.io/Logging_FORSKNINGSRESAN_2025_BJURHOLM/kartor/Lillgoberget karta.png", "Lillgoberget")</f>
        <v/>
      </c>
      <c r="X5">
        <f>HYPERLINK("https://klasma.github.io/Logging_FORSKNINGSRESAN_2025_BJURHOLM/knärot/Lillgoberget karta knärot.png", "Lillgoberget")</f>
        <v/>
      </c>
      <c r="Y5">
        <f>HYPERLINK("https://klasma.github.io/Logging_FORSKNINGSRESAN_2025_BJURHOLM/klagomål/Lillgoberget FSC-klagomål.docx", "Lillgoberget")</f>
        <v/>
      </c>
      <c r="Z5">
        <f>HYPERLINK("https://klasma.github.io/Logging_FORSKNINGSRESAN_2025_BJURHOLM/klagomålsmail/Lillgoberget FSC-klagomål mail.docx", "Lillgoberget")</f>
        <v/>
      </c>
      <c r="AA5">
        <f>HYPERLINK("https://klasma.github.io/Logging_FORSKNINGSRESAN_2025_BJURHOLM/tillsyn/Lillgoberget tillsynsbegäran.docx", "Lillgoberget")</f>
        <v/>
      </c>
      <c r="AB5">
        <f>HYPERLINK("https://klasma.github.io/Logging_FORSKNINGSRESAN_2025_BJURHOLM/tillsynsmail/Lillgoberget tillsynsbegäran mail.docx", "Lillgoberget")</f>
        <v/>
      </c>
      <c r="AC5">
        <f>HYPERLINK("https://klasma.github.io/Logging_FORSKNINGSRESAN_2025_BJURHOLM/fåglar/Lillgoberget prioriterade fågelarter.docx", "Lillgoberget")</f>
        <v/>
      </c>
    </row>
    <row r="6" ht="15" customHeight="1">
      <c r="A6" t="inlineStr">
        <is>
          <t>Baksjökullen</t>
        </is>
      </c>
      <c r="B6" t="inlineStr">
        <is>
          <t>avverkningsanmälan</t>
        </is>
      </c>
      <c r="D6" s="1" t="n">
        <v>46221</v>
      </c>
      <c r="E6" s="1" t="n">
        <v>46221</v>
      </c>
      <c r="F6" t="inlineStr"/>
      <c r="G6" t="inlineStr">
        <is>
          <t>Bjurholm</t>
        </is>
      </c>
      <c r="H6" t="inlineStr">
        <is>
          <t>Sveaskog</t>
        </is>
      </c>
      <c r="I6" t="n">
        <v>152.1</v>
      </c>
      <c r="J6" t="n">
        <v>13</v>
      </c>
      <c r="K6" t="n">
        <v>10</v>
      </c>
      <c r="L6" t="n">
        <v>31</v>
      </c>
      <c r="M6" t="n">
        <v>6</v>
      </c>
      <c r="N6" t="n">
        <v>1</v>
      </c>
      <c r="O6" t="n">
        <v>0</v>
      </c>
      <c r="P6" t="n">
        <v>0</v>
      </c>
      <c r="Q6" t="n">
        <v>38</v>
      </c>
      <c r="R6" t="n">
        <v>7</v>
      </c>
      <c r="S6" t="n">
        <v>54</v>
      </c>
      <c r="T6" t="n">
        <v>533</v>
      </c>
      <c r="U6" s="2" t="inlineStr">
        <is>
          <t>Urskogsporing
Doftticka
Fläckporing
Garnlav
Gräddporing
Knärot
Liten aspgelélav
Blanksvart spiklav
Blå taggsvamp
Blågrå svartspik
Drillsnäppa
Dropptaggsvamp
Dvärgbägarlav
Grå blåbärsfältmätare
Kolflarnlav
Kortskaftad ärgspik
Kådvaxskinn
Lavskrika
Liten svartspik
Luddfingersvamp
Lunglav
Motaggsvamp
Mörk kolflarnlav
Nordtagging
Reliktbock
Rödvingetrast
Skrovellav
Svartvit taggsvamp
Talltagel
Talltaggsvamp
Talltita
Tretåig hackspett
Ullticka
Vaddporing
Vedflamlav
Vedskivlav
Vitgrynig nållav
Vitplätt
Björksplintborre
Bårdlav
Dvärgtufs
Luddlav
Mindre märgborre
Nästlav
Skinnlav
Stuplav
Vedticka
Ögonpyrola
Spillkråka
Tjäder
Kungsfågel
Orre
Vanlig groda
Revlummer</t>
        </is>
      </c>
      <c r="V6">
        <f>HYPERLINK("https://klasma.github.io/Logging_FORSKNINGSRESAN_2025_BJURHOLM/artfynd/Baksjökullen artfynd.xlsx", "Baksjökullen")</f>
        <v/>
      </c>
      <c r="W6">
        <f>HYPERLINK("https://klasma.github.io/Logging_FORSKNINGSRESAN_2025_BJURHOLM/kartor/Baksjökullen karta.png", "Baksjökullen")</f>
        <v/>
      </c>
      <c r="X6">
        <f>HYPERLINK("https://klasma.github.io/Logging_FORSKNINGSRESAN_2025_BJURHOLM/knärot/Baksjökullen karta knärot.png", "Baksjökullen")</f>
        <v/>
      </c>
      <c r="Y6">
        <f>HYPERLINK("https://klasma.github.io/Logging_FORSKNINGSRESAN_2025_BJURHOLM/klagomål/Baksjökullen FSC-klagomål.docx", "Baksjökullen")</f>
        <v/>
      </c>
      <c r="Z6">
        <f>HYPERLINK("https://klasma.github.io/Logging_FORSKNINGSRESAN_2025_BJURHOLM/klagomålsmail/Baksjökullen FSC-klagomål mail.docx", "Baksjökullen")</f>
        <v/>
      </c>
      <c r="AA6">
        <f>HYPERLINK("https://klasma.github.io/Logging_FORSKNINGSRESAN_2025_BJURHOLM/tillsyn/Baksjökullen tillsynsbegäran.docx", "Baksjökullen")</f>
        <v/>
      </c>
      <c r="AB6">
        <f>HYPERLINK("https://klasma.github.io/Logging_FORSKNINGSRESAN_2025_BJURHOLM/tillsynsmail/Baksjökullen tillsynsbegäran mail.docx", "Baksjökullen")</f>
        <v/>
      </c>
      <c r="AC6">
        <f>HYPERLINK("https://klasma.github.io/Logging_FORSKNINGSRESAN_2025_BJURHOLM/fåglar/Baksjökullen prioriterade fågelarter.docx", "Baksjökullen")</f>
        <v/>
      </c>
    </row>
    <row r="7" ht="15" customHeight="1">
      <c r="A7" t="inlineStr">
        <is>
          <t>Fulberget</t>
        </is>
      </c>
      <c r="B7" t="inlineStr">
        <is>
          <t>avverkningsanmälan</t>
        </is>
      </c>
      <c r="D7" s="1" t="n">
        <v>46221</v>
      </c>
      <c r="E7" s="1" t="n">
        <v>46221</v>
      </c>
      <c r="F7" t="inlineStr"/>
      <c r="G7" t="inlineStr">
        <is>
          <t>Bjurholm</t>
        </is>
      </c>
      <c r="H7" t="inlineStr">
        <is>
          <t>Holmen skog AB</t>
        </is>
      </c>
      <c r="I7" t="n">
        <v>117.3</v>
      </c>
      <c r="J7" t="n">
        <v>10</v>
      </c>
      <c r="K7" t="n">
        <v>17</v>
      </c>
      <c r="L7" t="n">
        <v>25</v>
      </c>
      <c r="M7" t="n">
        <v>4</v>
      </c>
      <c r="N7" t="n">
        <v>0</v>
      </c>
      <c r="O7" t="n">
        <v>0</v>
      </c>
      <c r="P7" t="n">
        <v>0</v>
      </c>
      <c r="Q7" t="n">
        <v>29</v>
      </c>
      <c r="R7" t="n">
        <v>4</v>
      </c>
      <c r="S7" t="n">
        <v>51</v>
      </c>
      <c r="T7" t="n">
        <v>198</v>
      </c>
      <c r="U7" s="2" t="inlineStr">
        <is>
          <t>Garnlav
Gränsticka
Knärot
Vitt vaxskinn
Barkporlav
Blek lundlav
Brunpudrad nållav
Doftskinn
Dvärgbägarlav
Gammelgransskål
Grå blåbärsfältmätare
Harticka
Kolflarnlav
Kortskaftad ärgspik
Kötticka
Lavskrika
Lunglav
Mörk kolflarnlav
Rosenticka
Rostania effusa
Rynkskinn
Småflikig brosklav
Stiftgelélav
Talltita
Tretåig hackspett
Ullticka
Vedskivlav
Violettgrå tagellav
Vitgrynig nållav
Bårdlav
Dvärgtufs
Gulnål
Kornig nållav
Källpraktmossa
Luddlav
Mörk husmossa
Rävticka
Skinnlav
Spindelblomster
Stor aspticka
Stuplav
Thomsons trägnagare
Trådticka
Vedticka
Vågbandad barkbock
Ögonpyrola
Spillkråka
Kungsfågel
Vanlig padda
Fläcknycklar
Revlummer</t>
        </is>
      </c>
      <c r="V7">
        <f>HYPERLINK("https://klasma.github.io/Logging_FORSKNINGSRESAN_2025_BJURHOLM/artfynd/Fulberget artfynd.xlsx", "Fulberget")</f>
        <v/>
      </c>
      <c r="W7">
        <f>HYPERLINK("https://klasma.github.io/Logging_FORSKNINGSRESAN_2025_BJURHOLM/kartor/Fulberget karta.png", "Fulberget")</f>
        <v/>
      </c>
      <c r="X7">
        <f>HYPERLINK("https://klasma.github.io/Logging_FORSKNINGSRESAN_2025_BJURHOLM/knärot/Fulberget karta knärot.png", "Fulberget")</f>
        <v/>
      </c>
      <c r="Y7">
        <f>HYPERLINK("https://klasma.github.io/Logging_FORSKNINGSRESAN_2025_BJURHOLM/klagomål/Fulberget FSC-klagomål.docx", "Fulberget")</f>
        <v/>
      </c>
      <c r="Z7">
        <f>HYPERLINK("https://klasma.github.io/Logging_FORSKNINGSRESAN_2025_BJURHOLM/klagomålsmail/Fulberget FSC-klagomål mail.docx", "Fulberget")</f>
        <v/>
      </c>
      <c r="AA7">
        <f>HYPERLINK("https://klasma.github.io/Logging_FORSKNINGSRESAN_2025_BJURHOLM/tillsyn/Fulberget tillsynsbegäran.docx", "Fulberget")</f>
        <v/>
      </c>
      <c r="AB7">
        <f>HYPERLINK("https://klasma.github.io/Logging_FORSKNINGSRESAN_2025_BJURHOLM/tillsynsmail/Fulberget tillsynsbegäran mail.docx", "Fulberget")</f>
        <v/>
      </c>
      <c r="AC7">
        <f>HYPERLINK("https://klasma.github.io/Logging_FORSKNINGSRESAN_2025_BJURHOLM/fåglar/Fulberget prioriterade fågelarter.docx", "Fulberget")</f>
        <v/>
      </c>
    </row>
    <row r="8" ht="15" customHeight="1">
      <c r="A8" t="inlineStr">
        <is>
          <t>Arnträskbergen</t>
        </is>
      </c>
      <c r="B8" t="inlineStr">
        <is>
          <t>avverkningsanmälan</t>
        </is>
      </c>
      <c r="D8" s="1" t="n">
        <v>46221</v>
      </c>
      <c r="E8" s="1" t="n">
        <v>46221</v>
      </c>
      <c r="F8" t="inlineStr"/>
      <c r="G8" t="inlineStr">
        <is>
          <t>Bjurholm</t>
        </is>
      </c>
      <c r="H8" t="inlineStr">
        <is>
          <t>Sveaskog</t>
        </is>
      </c>
      <c r="I8" t="n">
        <v>1125.5</v>
      </c>
      <c r="J8" t="n">
        <v>11</v>
      </c>
      <c r="K8" t="n">
        <v>17</v>
      </c>
      <c r="L8" t="n">
        <v>17</v>
      </c>
      <c r="M8" t="n">
        <v>9</v>
      </c>
      <c r="N8" t="n">
        <v>0</v>
      </c>
      <c r="O8" t="n">
        <v>0</v>
      </c>
      <c r="P8" t="n">
        <v>0</v>
      </c>
      <c r="Q8" t="n">
        <v>26</v>
      </c>
      <c r="R8" t="n">
        <v>9</v>
      </c>
      <c r="S8" t="n">
        <v>49</v>
      </c>
      <c r="T8" t="n">
        <v>803</v>
      </c>
      <c r="U8" s="2" t="inlineStr">
        <is>
          <t>Doftticka
Finporing
Garnlav
Grantickeporing
Gräddticka
Gränsticka
Lappticka
Ostticka
Ulltickeporing
Doftskinn
Gammelgransskål
Harticka
Knottrig blåslav
Kötticka
Lavskrika
Lunglav
Rosenticka
Rynkskinn
Skrovellav
Stjärntagging
Talltita
Tretåig hackspett
Ullticka
Vedskivlav
Violettgrå tagellav
Vitgrynig nållav
Barkticka
Blodticka
Bårdlav
Gullgröppa
Gulnål
Gulskölding
Gytterlav
Korallrot
Kornig nållav
Luddlav
Mörk husmossa
Skinnlav
Stor aspticka
Stuplav
Trådticka
Vedticka
Ögonpyrola
Järpe
Spillkråka
Tallbit
Tjäder
Orre
Revlummer</t>
        </is>
      </c>
      <c r="V8">
        <f>HYPERLINK("https://klasma.github.io/Logging_FORSKNINGSRESAN_2025_BJURHOLM/artfynd/Arnträskbergen artfynd.xlsx", "Arnträskbergen")</f>
        <v/>
      </c>
      <c r="W8">
        <f>HYPERLINK("https://klasma.github.io/Logging_FORSKNINGSRESAN_2025_BJURHOLM/kartor/Arnträskbergen karta.png", "Arnträskbergen")</f>
        <v/>
      </c>
      <c r="Y8">
        <f>HYPERLINK("https://klasma.github.io/Logging_FORSKNINGSRESAN_2025_BJURHOLM/klagomål/Arnträskbergen FSC-klagomål.docx", "Arnträskbergen")</f>
        <v/>
      </c>
      <c r="Z8">
        <f>HYPERLINK("https://klasma.github.io/Logging_FORSKNINGSRESAN_2025_BJURHOLM/klagomålsmail/Arnträskbergen FSC-klagomål mail.docx", "Arnträskbergen")</f>
        <v/>
      </c>
      <c r="AA8">
        <f>HYPERLINK("https://klasma.github.io/Logging_FORSKNINGSRESAN_2025_BJURHOLM/tillsyn/Arnträskbergen tillsynsbegäran.docx", "Arnträskbergen")</f>
        <v/>
      </c>
      <c r="AB8">
        <f>HYPERLINK("https://klasma.github.io/Logging_FORSKNINGSRESAN_2025_BJURHOLM/tillsynsmail/Arnträskbergen tillsynsbegäran mail.docx", "Arnträskbergen")</f>
        <v/>
      </c>
      <c r="AC8">
        <f>HYPERLINK("https://klasma.github.io/Logging_FORSKNINGSRESAN_2025_BJURHOLM/fåglar/Arnträskbergen prioriterade fågelarter.docx", "Arnträskbergen")</f>
        <v/>
      </c>
    </row>
    <row r="9" ht="15" customHeight="1">
      <c r="A9" t="inlineStr">
        <is>
          <t>Sundsjölandet</t>
        </is>
      </c>
      <c r="B9" t="inlineStr">
        <is>
          <t>avverkningsanmälan</t>
        </is>
      </c>
      <c r="D9" s="1" t="n">
        <v>46221</v>
      </c>
      <c r="E9" s="1" t="n">
        <v>46221</v>
      </c>
      <c r="F9" t="inlineStr"/>
      <c r="G9" t="inlineStr">
        <is>
          <t>Bjurholm</t>
        </is>
      </c>
      <c r="H9" t="inlineStr">
        <is>
          <t>SCA</t>
        </is>
      </c>
      <c r="I9" t="n">
        <v>381.1</v>
      </c>
      <c r="J9" t="n">
        <v>7</v>
      </c>
      <c r="K9" t="n">
        <v>6</v>
      </c>
      <c r="L9" t="n">
        <v>29</v>
      </c>
      <c r="M9" t="n">
        <v>7</v>
      </c>
      <c r="N9" t="n">
        <v>1</v>
      </c>
      <c r="O9" t="n">
        <v>0</v>
      </c>
      <c r="P9" t="n">
        <v>0</v>
      </c>
      <c r="Q9" t="n">
        <v>37</v>
      </c>
      <c r="R9" t="n">
        <v>8</v>
      </c>
      <c r="S9" t="n">
        <v>48</v>
      </c>
      <c r="T9" t="n">
        <v>279</v>
      </c>
      <c r="U9" s="2" t="inlineStr">
        <is>
          <t>Urskogsporing
Fläckporing
Garnlav
Gräddporing
Gränsticka
Protounguicularia nephromatis
Skrovlig taggsvamp
Taggfingersvamp
Blanksvart spiklav
Blå taggsvamp
Blågrå svartspik
Dropptaggsvamp
Dvärgbägarlav
Gammelgransskål
Kolflarnlav
Kortskaftad ärgspik
Lavskrika
Lunglav
Motaggsvamp
Mörk kolflarnlav
Nordlig nållav
Nordtagging
Orange taggsvamp
Reliktbock
Skarp dropptaggsvamp
Tallriska
Talltagel
Tallticka
Tretåig hackspett
Ullticka
Vaddporing
Vedflamlav
Vedskivlav
Vedtrappmossa
Violettgrå tagellav
Vitgrynig nållav
Vitplätt
Barkticka
Bårdlav
Luddlav
Skinnlav
Stuplav
Vedticka
Gråspett
Spillkråka
Tjäder
Huggorm
Fläcknycklar</t>
        </is>
      </c>
      <c r="V9">
        <f>HYPERLINK("https://klasma.github.io/Logging_FORSKNINGSRESAN_2025_BJURHOLM/artfynd/Sundsjölandet artfynd.xlsx", "Sundsjölandet")</f>
        <v/>
      </c>
      <c r="W9">
        <f>HYPERLINK("https://klasma.github.io/Logging_FORSKNINGSRESAN_2025_BJURHOLM/kartor/Sundsjölandet karta.png", "Sundsjölandet")</f>
        <v/>
      </c>
      <c r="Y9">
        <f>HYPERLINK("https://klasma.github.io/Logging_FORSKNINGSRESAN_2025_BJURHOLM/klagomål/Sundsjölandet FSC-klagomål.docx", "Sundsjölandet")</f>
        <v/>
      </c>
      <c r="Z9">
        <f>HYPERLINK("https://klasma.github.io/Logging_FORSKNINGSRESAN_2025_BJURHOLM/klagomålsmail/Sundsjölandet FSC-klagomål mail.docx", "Sundsjölandet")</f>
        <v/>
      </c>
      <c r="AA9">
        <f>HYPERLINK("https://klasma.github.io/Logging_FORSKNINGSRESAN_2025_BJURHOLM/tillsyn/Sundsjölandet tillsynsbegäran.docx", "Sundsjölandet")</f>
        <v/>
      </c>
      <c r="AB9">
        <f>HYPERLINK("https://klasma.github.io/Logging_FORSKNINGSRESAN_2025_BJURHOLM/tillsynsmail/Sundsjölandet tillsynsbegäran mail.docx", "Sundsjölandet")</f>
        <v/>
      </c>
      <c r="AC9">
        <f>HYPERLINK("https://klasma.github.io/Logging_FORSKNINGSRESAN_2025_BJURHOLM/fåglar/Sundsjölandet prioriterade fågelarter.docx", "Sundsjölandet")</f>
        <v/>
      </c>
    </row>
    <row r="10" ht="15" customHeight="1">
      <c r="A10" t="inlineStr">
        <is>
          <t>Rislidtjärnarna</t>
        </is>
      </c>
      <c r="B10" t="inlineStr">
        <is>
          <t>avverkningsanmälan</t>
        </is>
      </c>
      <c r="D10" s="1" t="n">
        <v>46221</v>
      </c>
      <c r="E10" s="1" t="n">
        <v>46221</v>
      </c>
      <c r="F10" t="inlineStr"/>
      <c r="G10" t="inlineStr">
        <is>
          <t>Bjurholm</t>
        </is>
      </c>
      <c r="H10" t="inlineStr">
        <is>
          <t>Holmen skog AB</t>
        </is>
      </c>
      <c r="I10" t="n">
        <v>121.7</v>
      </c>
      <c r="J10" t="n">
        <v>11</v>
      </c>
      <c r="K10" t="n">
        <v>11</v>
      </c>
      <c r="L10" t="n">
        <v>20</v>
      </c>
      <c r="M10" t="n">
        <v>4</v>
      </c>
      <c r="N10" t="n">
        <v>0</v>
      </c>
      <c r="O10" t="n">
        <v>0</v>
      </c>
      <c r="P10" t="n">
        <v>0</v>
      </c>
      <c r="Q10" t="n">
        <v>24</v>
      </c>
      <c r="R10" t="n">
        <v>4</v>
      </c>
      <c r="S10" t="n">
        <v>40</v>
      </c>
      <c r="T10" t="n">
        <v>190</v>
      </c>
      <c r="U10" s="2" t="inlineStr">
        <is>
          <t>Garnlav
Gränsticka
Knärot
Ulltickeporing
Bivråk
Blanksvart spiklav
Brunpudrad nållav
Gammelgransskål
Grå blåbärsfältmätare
Harticka
Kolflarnlav
Kortskaftad ärgspik
Lavskrika
Lunglav
Mörk kolflarnlav
Rosenticka
Talltagel
Talltita
Tretåig hackspett
Ullticka
Vedskivlav
Vedtrappmossa
Violettgrå tagellav
Vitgrynig nållav
Bronshjon
Brun nållav
Bårdlav
Gulnål
Gytterlav
Luddlav
Mörk husmossa
Skinnlav
Spindelblomster
Stuplav
Vedticka
Järpe
Spillkråka
Tjäder
Tofsmes
Fläcknycklar</t>
        </is>
      </c>
      <c r="V10">
        <f>HYPERLINK("https://klasma.github.io/Logging_FORSKNINGSRESAN_2025_BJURHOLM/artfynd/Rislidtjärnarna artfynd.xlsx", "Rislidtjärnarna")</f>
        <v/>
      </c>
      <c r="W10">
        <f>HYPERLINK("https://klasma.github.io/Logging_FORSKNINGSRESAN_2025_BJURHOLM/kartor/Rislidtjärnarna karta.png", "Rislidtjärnarna")</f>
        <v/>
      </c>
      <c r="X10">
        <f>HYPERLINK("https://klasma.github.io/Logging_FORSKNINGSRESAN_2025_BJURHOLM/knärot/Rislidtjärnarna karta knärot.png", "Rislidtjärnarna")</f>
        <v/>
      </c>
      <c r="Y10">
        <f>HYPERLINK("https://klasma.github.io/Logging_FORSKNINGSRESAN_2025_BJURHOLM/klagomål/Rislidtjärnarna FSC-klagomål.docx", "Rislidtjärnarna")</f>
        <v/>
      </c>
      <c r="Z10">
        <f>HYPERLINK("https://klasma.github.io/Logging_FORSKNINGSRESAN_2025_BJURHOLM/klagomålsmail/Rislidtjärnarna FSC-klagomål mail.docx", "Rislidtjärnarna")</f>
        <v/>
      </c>
      <c r="AA10">
        <f>HYPERLINK("https://klasma.github.io/Logging_FORSKNINGSRESAN_2025_BJURHOLM/tillsyn/Rislidtjärnarna tillsynsbegäran.docx", "Rislidtjärnarna")</f>
        <v/>
      </c>
      <c r="AB10">
        <f>HYPERLINK("https://klasma.github.io/Logging_FORSKNINGSRESAN_2025_BJURHOLM/tillsynsmail/Rislidtjärnarna tillsynsbegäran mail.docx", "Rislidtjärnarna")</f>
        <v/>
      </c>
      <c r="AC10">
        <f>HYPERLINK("https://klasma.github.io/Logging_FORSKNINGSRESAN_2025_BJURHOLM/fåglar/Rislidtjärnarna prioriterade fågelarter.docx", "Rislidtjärnarna")</f>
        <v/>
      </c>
    </row>
    <row r="11" ht="15" customHeight="1">
      <c r="A11" t="inlineStr">
        <is>
          <t>Lill-Lögdåberget O</t>
        </is>
      </c>
      <c r="B11" t="inlineStr">
        <is>
          <t>avverkningsanmälan</t>
        </is>
      </c>
      <c r="D11" s="1" t="n">
        <v>46221</v>
      </c>
      <c r="E11" s="1" t="n">
        <v>46221</v>
      </c>
      <c r="F11" t="inlineStr"/>
      <c r="G11" t="inlineStr">
        <is>
          <t>Bjurholm</t>
        </is>
      </c>
      <c r="H11" t="inlineStr">
        <is>
          <t>Holmen skog AB</t>
        </is>
      </c>
      <c r="I11" t="n">
        <v>27.2</v>
      </c>
      <c r="J11" t="n">
        <v>9</v>
      </c>
      <c r="K11" t="n">
        <v>7</v>
      </c>
      <c r="L11" t="n">
        <v>24</v>
      </c>
      <c r="M11" t="n">
        <v>5</v>
      </c>
      <c r="N11" t="n">
        <v>0</v>
      </c>
      <c r="O11" t="n">
        <v>0</v>
      </c>
      <c r="P11" t="n">
        <v>0</v>
      </c>
      <c r="Q11" t="n">
        <v>29</v>
      </c>
      <c r="R11" t="n">
        <v>5</v>
      </c>
      <c r="S11" t="n">
        <v>39</v>
      </c>
      <c r="T11" t="n">
        <v>229</v>
      </c>
      <c r="U11" s="2" t="inlineStr">
        <is>
          <t>Fläckporing
Garnlav
Gräddporing
Knärot
Tornseglare
Barkporlav
Blanksvart spiklav
Blågrå svartspik
Brunpudrad nållav
Corticaria interstitialis
Dropptaggsvamp
Dvärgbägarlav
Ernobius explanatus
Granbarkmögelbagge
Kolflarnlav
Kortskaftad ärgspik
Kådvaxskinn
Lavskrika
Lunglav
Mörk kolflarnlav
Rynkskinn
Skrovellav
Talltita
Tretåig hackspett
Ullticka
Vedflamlav
Vedskivlav
Violettgrå tagellav
Vitgrynig nållav
Luddlav
Nästlav
Skinnlav
Spindelblomster
Stuplav
Vedticka
Ögonpyrola
Spillkråka
Kungsfågel
Fläcknycklar</t>
        </is>
      </c>
      <c r="V11">
        <f>HYPERLINK("https://klasma.github.io/Logging_FORSKNINGSRESAN_2025_BJURHOLM/artfynd/Lill-Lögdåberget O artfynd.xlsx", "Lill-Lögdåberget O")</f>
        <v/>
      </c>
      <c r="W11">
        <f>HYPERLINK("https://klasma.github.io/Logging_FORSKNINGSRESAN_2025_BJURHOLM/kartor/Lill-Lögdåberget O karta.png", "Lill-Lögdåberget O")</f>
        <v/>
      </c>
      <c r="X11">
        <f>HYPERLINK("https://klasma.github.io/Logging_FORSKNINGSRESAN_2025_BJURHOLM/knärot/Lill-Lögdåberget O karta knärot.png", "Lill-Lögdåberget O")</f>
        <v/>
      </c>
      <c r="Y11">
        <f>HYPERLINK("https://klasma.github.io/Logging_FORSKNINGSRESAN_2025_BJURHOLM/klagomål/Lill-Lögdåberget O FSC-klagomål.docx", "Lill-Lögdåberget O")</f>
        <v/>
      </c>
      <c r="Z11">
        <f>HYPERLINK("https://klasma.github.io/Logging_FORSKNINGSRESAN_2025_BJURHOLM/klagomålsmail/Lill-Lögdåberget O FSC-klagomål mail.docx", "Lill-Lögdåberget O")</f>
        <v/>
      </c>
      <c r="AA11">
        <f>HYPERLINK("https://klasma.github.io/Logging_FORSKNINGSRESAN_2025_BJURHOLM/tillsyn/Lill-Lögdåberget O tillsynsbegäran.docx", "Lill-Lögdåberget O")</f>
        <v/>
      </c>
      <c r="AB11">
        <f>HYPERLINK("https://klasma.github.io/Logging_FORSKNINGSRESAN_2025_BJURHOLM/tillsynsmail/Lill-Lögdåberget O tillsynsbegäran mail.docx", "Lill-Lögdåberget O")</f>
        <v/>
      </c>
      <c r="AC11">
        <f>HYPERLINK("https://klasma.github.io/Logging_FORSKNINGSRESAN_2025_BJURHOLM/fåglar/Lill-Lögdåberget O prioriterade fågelarter.docx", "Lill-Lögdåberget O")</f>
        <v/>
      </c>
    </row>
    <row r="12" ht="15" customHeight="1">
      <c r="A12" t="inlineStr">
        <is>
          <t>Tällvattsåsen</t>
        </is>
      </c>
      <c r="B12" t="inlineStr">
        <is>
          <t>avverkningsanmälan</t>
        </is>
      </c>
      <c r="D12" s="1" t="n">
        <v>46221</v>
      </c>
      <c r="E12" s="1" t="n">
        <v>46221</v>
      </c>
      <c r="F12" t="inlineStr"/>
      <c r="G12" t="inlineStr">
        <is>
          <t>Bjurholm</t>
        </is>
      </c>
      <c r="H12" t="inlineStr">
        <is>
          <t>Holmen skog AB</t>
        </is>
      </c>
      <c r="I12" t="n">
        <v>190.3</v>
      </c>
      <c r="J12" t="n">
        <v>13</v>
      </c>
      <c r="K12" t="n">
        <v>9</v>
      </c>
      <c r="L12" t="n">
        <v>20</v>
      </c>
      <c r="M12" t="n">
        <v>3</v>
      </c>
      <c r="N12" t="n">
        <v>0</v>
      </c>
      <c r="O12" t="n">
        <v>0</v>
      </c>
      <c r="P12" t="n">
        <v>0</v>
      </c>
      <c r="Q12" t="n">
        <v>23</v>
      </c>
      <c r="R12" t="n">
        <v>3</v>
      </c>
      <c r="S12" t="n">
        <v>38</v>
      </c>
      <c r="T12" t="n">
        <v>300</v>
      </c>
      <c r="U12" s="2" t="inlineStr">
        <is>
          <t>Doftticka
Garnlav
Knärot
Blanksvart spiklav
Blågrå svartspik
Brunpudrad nållav
Dropptaggsvamp
Gammelgransskål
Harticka
Kolflarnlav
Lavskrika
Lunglav
Mörk kolflarnlav
Rynkskinn
Skuggblåslav
Talltagel
Talltita
Tretåig hackspett
Ullticka
Vedflamlav
Vedskivlav
Violettgrå tagellav
Vitgrynig nållav
Bronshjon
Bårdlav
Luddlav
Nästlav
Plattlummer
Skinnlav
Spindelblomster
Stuplav
Vedticka
Spillkråka
Tjäder
Kungsfågel
Vanlig padda
Fläcknycklar
Revlummer</t>
        </is>
      </c>
      <c r="V12">
        <f>HYPERLINK("https://klasma.github.io/Logging_FORSKNINGSRESAN_2025_BJURHOLM/artfynd/Tällvattsåsen artfynd.xlsx", "Tällvattsåsen")</f>
        <v/>
      </c>
      <c r="W12">
        <f>HYPERLINK("https://klasma.github.io/Logging_FORSKNINGSRESAN_2025_BJURHOLM/kartor/Tällvattsåsen karta.png", "Tällvattsåsen")</f>
        <v/>
      </c>
      <c r="X12">
        <f>HYPERLINK("https://klasma.github.io/Logging_FORSKNINGSRESAN_2025_BJURHOLM/knärot/Tällvattsåsen karta knärot.png", "Tällvattsåsen")</f>
        <v/>
      </c>
      <c r="Y12">
        <f>HYPERLINK("https://klasma.github.io/Logging_FORSKNINGSRESAN_2025_BJURHOLM/klagomål/Tällvattsåsen FSC-klagomål.docx", "Tällvattsåsen")</f>
        <v/>
      </c>
      <c r="Z12">
        <f>HYPERLINK("https://klasma.github.io/Logging_FORSKNINGSRESAN_2025_BJURHOLM/klagomålsmail/Tällvattsåsen FSC-klagomål mail.docx", "Tällvattsåsen")</f>
        <v/>
      </c>
      <c r="AA12">
        <f>HYPERLINK("https://klasma.github.io/Logging_FORSKNINGSRESAN_2025_BJURHOLM/tillsyn/Tällvattsåsen tillsynsbegäran.docx", "Tällvattsåsen")</f>
        <v/>
      </c>
      <c r="AB12">
        <f>HYPERLINK("https://klasma.github.io/Logging_FORSKNINGSRESAN_2025_BJURHOLM/tillsynsmail/Tällvattsåsen tillsynsbegäran mail.docx", "Tällvattsåsen")</f>
        <v/>
      </c>
      <c r="AC12">
        <f>HYPERLINK("https://klasma.github.io/Logging_FORSKNINGSRESAN_2025_BJURHOLM/fåglar/Tällvattsåsen prioriterade fågelarter.docx", "Tällvattsåsen")</f>
        <v/>
      </c>
    </row>
    <row r="13" ht="15" customHeight="1">
      <c r="A13" t="inlineStr">
        <is>
          <t>Lappberget</t>
        </is>
      </c>
      <c r="B13" t="inlineStr">
        <is>
          <t>avverkningsanmälan</t>
        </is>
      </c>
      <c r="D13" s="1" t="n">
        <v>46221</v>
      </c>
      <c r="E13" s="1" t="n">
        <v>46221</v>
      </c>
      <c r="F13" t="inlineStr"/>
      <c r="G13" t="inlineStr">
        <is>
          <t>Bjurholm</t>
        </is>
      </c>
      <c r="H13" t="inlineStr">
        <is>
          <t>Holmen skog AB</t>
        </is>
      </c>
      <c r="I13" t="n">
        <v>60.4</v>
      </c>
      <c r="J13" t="n">
        <v>8</v>
      </c>
      <c r="K13" t="n">
        <v>8</v>
      </c>
      <c r="L13" t="n">
        <v>20</v>
      </c>
      <c r="M13" t="n">
        <v>4</v>
      </c>
      <c r="N13" t="n">
        <v>0</v>
      </c>
      <c r="O13" t="n">
        <v>0</v>
      </c>
      <c r="P13" t="n">
        <v>0</v>
      </c>
      <c r="Q13" t="n">
        <v>24</v>
      </c>
      <c r="R13" t="n">
        <v>4</v>
      </c>
      <c r="S13" t="n">
        <v>37</v>
      </c>
      <c r="T13" t="n">
        <v>287</v>
      </c>
      <c r="U13" s="2" t="inlineStr">
        <is>
          <t>Aspgelélav
Fläckporing
Garnlav
Tornseglare
Blanksvart spiklav
Blågrå svartspik
Doftskinn
Dropptaggsvamp
Dvärgbägarlav
Gammelgransskål
Kolflarnlav
Lunglav
Mörk kolflarnlav
Nordtagging
Stiftgelélav
Stjärntagging
Talltita
Tretåig hackspett
Ullticka
Vedflamlav
Vedskivlav
Violettgrå tagellav
Vitgrynig nållav
Vitplätt
Björksplintborre
Luddlav
Norrlandslav
Nästlav
Skinnlav
Stuplav
Trådticka
Vedticka
Tjäder
Kungsfågel
Fläcknycklar
Nattviol
Revlummer</t>
        </is>
      </c>
      <c r="V13">
        <f>HYPERLINK("https://klasma.github.io/Logging_FORSKNINGSRESAN_2025_BJURHOLM/artfynd/Lappberget artfynd.xlsx", "Lappberget")</f>
        <v/>
      </c>
      <c r="W13">
        <f>HYPERLINK("https://klasma.github.io/Logging_FORSKNINGSRESAN_2025_BJURHOLM/kartor/Lappberget karta.png", "Lappberget")</f>
        <v/>
      </c>
      <c r="Y13">
        <f>HYPERLINK("https://klasma.github.io/Logging_FORSKNINGSRESAN_2025_BJURHOLM/klagomål/Lappberget FSC-klagomål.docx", "Lappberget")</f>
        <v/>
      </c>
      <c r="Z13">
        <f>HYPERLINK("https://klasma.github.io/Logging_FORSKNINGSRESAN_2025_BJURHOLM/klagomålsmail/Lappberget FSC-klagomål mail.docx", "Lappberget")</f>
        <v/>
      </c>
      <c r="AA13">
        <f>HYPERLINK("https://klasma.github.io/Logging_FORSKNINGSRESAN_2025_BJURHOLM/tillsyn/Lappberget tillsynsbegäran.docx", "Lappberget")</f>
        <v/>
      </c>
      <c r="AB13">
        <f>HYPERLINK("https://klasma.github.io/Logging_FORSKNINGSRESAN_2025_BJURHOLM/tillsynsmail/Lappberget tillsynsbegäran mail.docx", "Lappberget")</f>
        <v/>
      </c>
      <c r="AC13">
        <f>HYPERLINK("https://klasma.github.io/Logging_FORSKNINGSRESAN_2025_BJURHOLM/fåglar/Lappberget prioriterade fågelarter.docx", "Lappberget")</f>
        <v/>
      </c>
    </row>
    <row r="14" ht="15" customHeight="1">
      <c r="A14" t="inlineStr">
        <is>
          <t>Tyfallsjön</t>
        </is>
      </c>
      <c r="B14" t="inlineStr">
        <is>
          <t>avverkningsanmälan</t>
        </is>
      </c>
      <c r="D14" s="1" t="n">
        <v>46221</v>
      </c>
      <c r="E14" s="1" t="n">
        <v>46221</v>
      </c>
      <c r="F14" t="inlineStr"/>
      <c r="G14" t="inlineStr">
        <is>
          <t>Bjurholm</t>
        </is>
      </c>
      <c r="H14" t="inlineStr">
        <is>
          <t>Holmen skog AB</t>
        </is>
      </c>
      <c r="I14" t="n">
        <v>103.6</v>
      </c>
      <c r="J14" t="n">
        <v>1</v>
      </c>
      <c r="K14" t="n">
        <v>2</v>
      </c>
      <c r="L14" t="n">
        <v>23</v>
      </c>
      <c r="M14" t="n">
        <v>10</v>
      </c>
      <c r="N14" t="n">
        <v>0</v>
      </c>
      <c r="O14" t="n">
        <v>0</v>
      </c>
      <c r="P14" t="n">
        <v>0</v>
      </c>
      <c r="Q14" t="n">
        <v>33</v>
      </c>
      <c r="R14" t="n">
        <v>10</v>
      </c>
      <c r="S14" t="n">
        <v>36</v>
      </c>
      <c r="T14" t="n">
        <v>98</v>
      </c>
      <c r="U14" s="2" t="inlineStr">
        <is>
          <t>Fläckporing
Garnlav
Goliatmusseron
Gräddporing
Knärot
Ostticka
Skrovlig taggsvamp
Smalfotad taggsvamp
Spadskinn
Ulltickeporing
Blanksvart spiklav
Blå taggsvamp
Dropptaggsvamp
Dvärgbägarlav
Harticka
Kolflarnlav
Kötticka
Mörk kolflarnlav
Nordtagging
Orange taggsvamp
Reliktbock
Rosenticka
Rynkskinn
Skarp dropptaggsvamp
Stiftgelélav
Tallriska
Talltaggsvamp
Tallticka
Ullticka
Vaddporing
Vedflamlav
Vedskivlav
Vitgrynig nållav
Kalktallört
Vedticka
Svart taggsvamp agg.</t>
        </is>
      </c>
      <c r="V14">
        <f>HYPERLINK("https://klasma.github.io/Logging_FORSKNINGSRESAN_2025_BJURHOLM/artfynd/Tyfallsjön artfynd.xlsx", "Tyfallsjön")</f>
        <v/>
      </c>
      <c r="W14">
        <f>HYPERLINK("https://klasma.github.io/Logging_FORSKNINGSRESAN_2025_BJURHOLM/kartor/Tyfallsjön karta.png", "Tyfallsjön")</f>
        <v/>
      </c>
      <c r="X14">
        <f>HYPERLINK("https://klasma.github.io/Logging_FORSKNINGSRESAN_2025_BJURHOLM/knärot/Tyfallsjön karta knärot.png", "Tyfallsjön")</f>
        <v/>
      </c>
      <c r="Y14">
        <f>HYPERLINK("https://klasma.github.io/Logging_FORSKNINGSRESAN_2025_BJURHOLM/klagomål/Tyfallsjön FSC-klagomål.docx", "Tyfallsjön")</f>
        <v/>
      </c>
      <c r="Z14">
        <f>HYPERLINK("https://klasma.github.io/Logging_FORSKNINGSRESAN_2025_BJURHOLM/klagomålsmail/Tyfallsjön FSC-klagomål mail.docx", "Tyfallsjön")</f>
        <v/>
      </c>
      <c r="AA14">
        <f>HYPERLINK("https://klasma.github.io/Logging_FORSKNINGSRESAN_2025_BJURHOLM/tillsyn/Tyfallsjön tillsynsbegäran.docx", "Tyfallsjön")</f>
        <v/>
      </c>
      <c r="AB14">
        <f>HYPERLINK("https://klasma.github.io/Logging_FORSKNINGSRESAN_2025_BJURHOLM/tillsynsmail/Tyfallsjön tillsynsbegäran mail.docx", "Tyfallsjön")</f>
        <v/>
      </c>
    </row>
    <row r="15" ht="15" customHeight="1">
      <c r="A15" t="inlineStr">
        <is>
          <t>Oxliden</t>
        </is>
      </c>
      <c r="B15" t="inlineStr">
        <is>
          <t>avverkningsanmälan</t>
        </is>
      </c>
      <c r="D15" s="1" t="n">
        <v>46221</v>
      </c>
      <c r="E15" s="1" t="n">
        <v>46221</v>
      </c>
      <c r="F15" t="inlineStr"/>
      <c r="G15" t="inlineStr">
        <is>
          <t>Bjurholm</t>
        </is>
      </c>
      <c r="H15" t="inlineStr">
        <is>
          <t>Sveaskog</t>
        </is>
      </c>
      <c r="I15" t="n">
        <v>258.7</v>
      </c>
      <c r="J15" t="n">
        <v>2</v>
      </c>
      <c r="K15" t="n">
        <v>9</v>
      </c>
      <c r="L15" t="n">
        <v>21</v>
      </c>
      <c r="M15" t="n">
        <v>5</v>
      </c>
      <c r="N15" t="n">
        <v>0</v>
      </c>
      <c r="O15" t="n">
        <v>0</v>
      </c>
      <c r="P15" t="n">
        <v>0</v>
      </c>
      <c r="Q15" t="n">
        <v>26</v>
      </c>
      <c r="R15" t="n">
        <v>5</v>
      </c>
      <c r="S15" t="n">
        <v>35</v>
      </c>
      <c r="T15" t="n">
        <v>131</v>
      </c>
      <c r="U15" s="2" t="inlineStr">
        <is>
          <t>Garnlav
Gräddporing
Gränsticka
Rotfingersvamp
Skrovlig taggsvamp
Blanksvart spiklav
Doftskinn
Dropptaggsvamp
Dvärgbägarlav
Gammelgransskål
Kolflarnlav
Lunglav
Mindre hackspett
Motaggsvamp
Mörk kolflarnlav
Rosenticka
Skarp dropptaggsvamp
Skrovellav
Stiftgelélav
Tretåig hackspett
Ullticka
Vaddporing
Vedflamlav
Vedtrappmossa
Violettgrå tagellav
Vitgrynig nållav
Bronshjon
Bårdlav
Luddlav
Mörk husmossa
Nästlav
Skinnlav
Skogshakmossa
Stor aspticka
Stuplav</t>
        </is>
      </c>
      <c r="V15">
        <f>HYPERLINK("https://klasma.github.io/Logging_FORSKNINGSRESAN_2025_BJURHOLM/artfynd/Oxliden artfynd.xlsx", "Oxliden")</f>
        <v/>
      </c>
      <c r="W15">
        <f>HYPERLINK("https://klasma.github.io/Logging_FORSKNINGSRESAN_2025_BJURHOLM/kartor/Oxliden karta.png", "Oxliden")</f>
        <v/>
      </c>
      <c r="Y15">
        <f>HYPERLINK("https://klasma.github.io/Logging_FORSKNINGSRESAN_2025_BJURHOLM/klagomål/Oxliden FSC-klagomål.docx", "Oxliden")</f>
        <v/>
      </c>
      <c r="Z15">
        <f>HYPERLINK("https://klasma.github.io/Logging_FORSKNINGSRESAN_2025_BJURHOLM/klagomålsmail/Oxliden FSC-klagomål mail.docx", "Oxliden")</f>
        <v/>
      </c>
      <c r="AA15">
        <f>HYPERLINK("https://klasma.github.io/Logging_FORSKNINGSRESAN_2025_BJURHOLM/tillsyn/Oxliden tillsynsbegäran.docx", "Oxliden")</f>
        <v/>
      </c>
      <c r="AB15">
        <f>HYPERLINK("https://klasma.github.io/Logging_FORSKNINGSRESAN_2025_BJURHOLM/tillsynsmail/Oxliden tillsynsbegäran mail.docx", "Oxliden")</f>
        <v/>
      </c>
      <c r="AC15">
        <f>HYPERLINK("https://klasma.github.io/Logging_FORSKNINGSRESAN_2025_BJURHOLM/fåglar/Oxliden prioriterade fågelarter.docx", "Oxliden")</f>
        <v/>
      </c>
    </row>
    <row r="16" ht="15" customHeight="1">
      <c r="A16" t="inlineStr">
        <is>
          <t>Gålgoberget</t>
        </is>
      </c>
      <c r="B16" t="inlineStr">
        <is>
          <t>avverkningsanmälan</t>
        </is>
      </c>
      <c r="D16" s="1" t="n">
        <v>46221</v>
      </c>
      <c r="E16" s="1" t="n">
        <v>46221</v>
      </c>
      <c r="F16" t="inlineStr"/>
      <c r="G16" t="inlineStr">
        <is>
          <t>Bjurholm</t>
        </is>
      </c>
      <c r="H16" t="inlineStr">
        <is>
          <t>Sveaskog</t>
        </is>
      </c>
      <c r="I16" t="n">
        <v>57.1</v>
      </c>
      <c r="J16" t="n">
        <v>9</v>
      </c>
      <c r="K16" t="n">
        <v>9</v>
      </c>
      <c r="L16" t="n">
        <v>15</v>
      </c>
      <c r="M16" t="n">
        <v>2</v>
      </c>
      <c r="N16" t="n">
        <v>0</v>
      </c>
      <c r="O16" t="n">
        <v>0</v>
      </c>
      <c r="P16" t="n">
        <v>0</v>
      </c>
      <c r="Q16" t="n">
        <v>17</v>
      </c>
      <c r="R16" t="n">
        <v>2</v>
      </c>
      <c r="S16" t="n">
        <v>31</v>
      </c>
      <c r="T16" t="n">
        <v>176</v>
      </c>
      <c r="U16" s="2" t="inlineStr">
        <is>
          <t>Garnlav
Knärot
Blanksvart spiklav
Blågrå svartspik
Doftskinn
Gammelgransskål
Harticka
Lavskrika
Lunglav
Skrovellav
Talltita
Tretåig hackspett
Ullticka
Vedskivlav
Vedtrappmossa
Violettgrå tagellav
Vitgrynig nållav
Bårdlav
Gulnål
Luddlav
Mörk husmossa
Norrlandslav
Stor aspticka
Stuplav
Trådticka
Vedticka
Spillkråka
Tjäder
Kungsfågel
Fläcknycklar
Revlummer</t>
        </is>
      </c>
      <c r="V16">
        <f>HYPERLINK("https://klasma.github.io/Logging_FORSKNINGSRESAN_2025_BJURHOLM/artfynd/Gålgoberget artfynd.xlsx", "Gålgoberget")</f>
        <v/>
      </c>
      <c r="W16">
        <f>HYPERLINK("https://klasma.github.io/Logging_FORSKNINGSRESAN_2025_BJURHOLM/kartor/Gålgoberget karta.png", "Gålgoberget")</f>
        <v/>
      </c>
      <c r="X16">
        <f>HYPERLINK("https://klasma.github.io/Logging_FORSKNINGSRESAN_2025_BJURHOLM/knärot/Gålgoberget karta knärot.png", "Gålgoberget")</f>
        <v/>
      </c>
      <c r="Y16">
        <f>HYPERLINK("https://klasma.github.io/Logging_FORSKNINGSRESAN_2025_BJURHOLM/klagomål/Gålgoberget FSC-klagomål.docx", "Gålgoberget")</f>
        <v/>
      </c>
      <c r="Z16">
        <f>HYPERLINK("https://klasma.github.io/Logging_FORSKNINGSRESAN_2025_BJURHOLM/klagomålsmail/Gålgoberget FSC-klagomål mail.docx", "Gålgoberget")</f>
        <v/>
      </c>
      <c r="AA16">
        <f>HYPERLINK("https://klasma.github.io/Logging_FORSKNINGSRESAN_2025_BJURHOLM/tillsyn/Gålgoberget tillsynsbegäran.docx", "Gålgoberget")</f>
        <v/>
      </c>
      <c r="AB16">
        <f>HYPERLINK("https://klasma.github.io/Logging_FORSKNINGSRESAN_2025_BJURHOLM/tillsynsmail/Gålgoberget tillsynsbegäran mail.docx", "Gålgoberget")</f>
        <v/>
      </c>
      <c r="AC16">
        <f>HYPERLINK("https://klasma.github.io/Logging_FORSKNINGSRESAN_2025_BJURHOLM/fåglar/Gålgoberget prioriterade fågelarter.docx", "Gålgoberget")</f>
        <v/>
      </c>
    </row>
    <row r="17" ht="15" customHeight="1">
      <c r="A17" t="inlineStr">
        <is>
          <t>Orratjärnskullen</t>
        </is>
      </c>
      <c r="B17" t="inlineStr">
        <is>
          <t>avverkningsanmälan</t>
        </is>
      </c>
      <c r="D17" s="1" t="n">
        <v>46221</v>
      </c>
      <c r="E17" s="1" t="n">
        <v>46221</v>
      </c>
      <c r="F17" t="inlineStr"/>
      <c r="G17" t="inlineStr">
        <is>
          <t>Bjurholm</t>
        </is>
      </c>
      <c r="H17" t="inlineStr">
        <is>
          <t>Holmen skog AB</t>
        </is>
      </c>
      <c r="I17" t="n">
        <v>64.7</v>
      </c>
      <c r="J17" t="n">
        <v>12</v>
      </c>
      <c r="K17" t="n">
        <v>5</v>
      </c>
      <c r="L17" t="n">
        <v>14</v>
      </c>
      <c r="M17" t="n">
        <v>3</v>
      </c>
      <c r="N17" t="n">
        <v>0</v>
      </c>
      <c r="O17" t="n">
        <v>0</v>
      </c>
      <c r="P17" t="n">
        <v>0</v>
      </c>
      <c r="Q17" t="n">
        <v>17</v>
      </c>
      <c r="R17" t="n">
        <v>3</v>
      </c>
      <c r="S17" t="n">
        <v>30</v>
      </c>
      <c r="T17" t="n">
        <v>165</v>
      </c>
      <c r="U17" s="2" t="inlineStr">
        <is>
          <t>Garnlav
Gränsticka
Knärot
Doftskinn
Dvärgbägarlav
Harticka
Kötticka
Lunglav
Mörk kolflarnlav
Rödvingetrast
Småflikig brosklav
Stjärntagging
Talltita
Tretåig hackspett
Ullticka
Vedskivlav
Violettgrå tagellav
Bårdlav
Luddlav
Stor aspticka
Stuplav
Vedticka
Gråspett
Järpe
Spillkråka
Tjäder
Kungsfågel
Svartvit flugsnappare
Fläcknycklar
Nattviol</t>
        </is>
      </c>
      <c r="V17">
        <f>HYPERLINK("https://klasma.github.io/Logging_FORSKNINGSRESAN_2025_BJURHOLM/artfynd/Orratjärnskullen artfynd.xlsx", "Orratjärnskullen")</f>
        <v/>
      </c>
      <c r="W17">
        <f>HYPERLINK("https://klasma.github.io/Logging_FORSKNINGSRESAN_2025_BJURHOLM/kartor/Orratjärnskullen karta.png", "Orratjärnskullen")</f>
        <v/>
      </c>
      <c r="X17">
        <f>HYPERLINK("https://klasma.github.io/Logging_FORSKNINGSRESAN_2025_BJURHOLM/knärot/Orratjärnskullen karta knärot.png", "Orratjärnskullen")</f>
        <v/>
      </c>
      <c r="Y17">
        <f>HYPERLINK("https://klasma.github.io/Logging_FORSKNINGSRESAN_2025_BJURHOLM/klagomål/Orratjärnskullen FSC-klagomål.docx", "Orratjärnskullen")</f>
        <v/>
      </c>
      <c r="Z17">
        <f>HYPERLINK("https://klasma.github.io/Logging_FORSKNINGSRESAN_2025_BJURHOLM/klagomålsmail/Orratjärnskullen FSC-klagomål mail.docx", "Orratjärnskullen")</f>
        <v/>
      </c>
      <c r="AA17">
        <f>HYPERLINK("https://klasma.github.io/Logging_FORSKNINGSRESAN_2025_BJURHOLM/tillsyn/Orratjärnskullen tillsynsbegäran.docx", "Orratjärnskullen")</f>
        <v/>
      </c>
      <c r="AB17">
        <f>HYPERLINK("https://klasma.github.io/Logging_FORSKNINGSRESAN_2025_BJURHOLM/tillsynsmail/Orratjärnskullen tillsynsbegäran mail.docx", "Orratjärnskullen")</f>
        <v/>
      </c>
      <c r="AC17">
        <f>HYPERLINK("https://klasma.github.io/Logging_FORSKNINGSRESAN_2025_BJURHOLM/fåglar/Orratjärnskullen prioriterade fågelarter.docx", "Orratjärnskullen")</f>
        <v/>
      </c>
    </row>
    <row r="18" ht="15" customHeight="1">
      <c r="A18" t="inlineStr">
        <is>
          <t>Hötjärnberget</t>
        </is>
      </c>
      <c r="B18" t="inlineStr">
        <is>
          <t>avverkningsanmälan</t>
        </is>
      </c>
      <c r="D18" s="1" t="n">
        <v>46221</v>
      </c>
      <c r="E18" s="1" t="n">
        <v>46221</v>
      </c>
      <c r="F18" t="inlineStr"/>
      <c r="G18" t="inlineStr">
        <is>
          <t>Bjurholm</t>
        </is>
      </c>
      <c r="H18" t="inlineStr">
        <is>
          <t>SCA</t>
        </is>
      </c>
      <c r="I18" t="n">
        <v>65.8</v>
      </c>
      <c r="J18" t="n">
        <v>5</v>
      </c>
      <c r="K18" t="n">
        <v>12</v>
      </c>
      <c r="L18" t="n">
        <v>13</v>
      </c>
      <c r="M18" t="n">
        <v>4</v>
      </c>
      <c r="N18" t="n">
        <v>0</v>
      </c>
      <c r="O18" t="n">
        <v>0</v>
      </c>
      <c r="P18" t="n">
        <v>0</v>
      </c>
      <c r="Q18" t="n">
        <v>17</v>
      </c>
      <c r="R18" t="n">
        <v>4</v>
      </c>
      <c r="S18" t="n">
        <v>30</v>
      </c>
      <c r="T18" t="n">
        <v>99</v>
      </c>
      <c r="U18" s="2" t="inlineStr">
        <is>
          <t>Doftticka
Garnlav
Knärot
Smalskaftslav
Blågrå svartspik
Dropptaggsvamp
Gammelgransskål
Knottrig blåslav
Kolflarnlav
Koralltaggsvamp
Kortskaftad ärgspik
Lunglav
Mörk kolflarnlav
Reliktbock
Stjärntagging
Talltagel
Tretåig hackspett
Bollvitmossa
Bårdlav
Granriska
Gytterlav
Korallblylav
Luddlav
Mörk husmossa
Rävticka
Spindelblomster
Stor aspticka
Stuplav
Vedticka
Sångsvan</t>
        </is>
      </c>
      <c r="V18">
        <f>HYPERLINK("https://klasma.github.io/Logging_FORSKNINGSRESAN_2025_BJURHOLM/artfynd/Hötjärnberget artfynd.xlsx", "Hötjärnberget")</f>
        <v/>
      </c>
      <c r="W18">
        <f>HYPERLINK("https://klasma.github.io/Logging_FORSKNINGSRESAN_2025_BJURHOLM/kartor/Hötjärnberget karta.png", "Hötjärnberget")</f>
        <v/>
      </c>
      <c r="X18">
        <f>HYPERLINK("https://klasma.github.io/Logging_FORSKNINGSRESAN_2025_BJURHOLM/knärot/Hötjärnberget karta knärot.png", "Hötjärnberget")</f>
        <v/>
      </c>
      <c r="Y18">
        <f>HYPERLINK("https://klasma.github.io/Logging_FORSKNINGSRESAN_2025_BJURHOLM/klagomål/Hötjärnberget FSC-klagomål.docx", "Hötjärnberget")</f>
        <v/>
      </c>
      <c r="Z18">
        <f>HYPERLINK("https://klasma.github.io/Logging_FORSKNINGSRESAN_2025_BJURHOLM/klagomålsmail/Hötjärnberget FSC-klagomål mail.docx", "Hötjärnberget")</f>
        <v/>
      </c>
      <c r="AA18">
        <f>HYPERLINK("https://klasma.github.io/Logging_FORSKNINGSRESAN_2025_BJURHOLM/tillsyn/Hötjärnberget tillsynsbegäran.docx", "Hötjärnberget")</f>
        <v/>
      </c>
      <c r="AB18">
        <f>HYPERLINK("https://klasma.github.io/Logging_FORSKNINGSRESAN_2025_BJURHOLM/tillsynsmail/Hötjärnberget tillsynsbegäran mail.docx", "Hötjärnberget")</f>
        <v/>
      </c>
      <c r="AC18">
        <f>HYPERLINK("https://klasma.github.io/Logging_FORSKNINGSRESAN_2025_BJURHOLM/fåglar/Hötjärnberget prioriterade fågelarter.docx", "Hötjärnberget")</f>
        <v/>
      </c>
    </row>
    <row r="19" ht="15" customHeight="1">
      <c r="A19" t="inlineStr">
        <is>
          <t>Glesskallberget</t>
        </is>
      </c>
      <c r="B19" t="inlineStr">
        <is>
          <t>avverkningsanmälan</t>
        </is>
      </c>
      <c r="D19" s="1" t="n">
        <v>46221</v>
      </c>
      <c r="E19" s="1" t="n">
        <v>46221</v>
      </c>
      <c r="F19" t="inlineStr"/>
      <c r="G19" t="inlineStr">
        <is>
          <t>Bjurholm</t>
        </is>
      </c>
      <c r="H19" t="inlineStr">
        <is>
          <t>Holmen skog AB</t>
        </is>
      </c>
      <c r="I19" t="n">
        <v>771.6</v>
      </c>
      <c r="J19" t="n">
        <v>8</v>
      </c>
      <c r="K19" t="n">
        <v>8</v>
      </c>
      <c r="L19" t="n">
        <v>11</v>
      </c>
      <c r="M19" t="n">
        <v>6</v>
      </c>
      <c r="N19" t="n">
        <v>1</v>
      </c>
      <c r="O19" t="n">
        <v>0</v>
      </c>
      <c r="P19" t="n">
        <v>0</v>
      </c>
      <c r="Q19" t="n">
        <v>18</v>
      </c>
      <c r="R19" t="n">
        <v>7</v>
      </c>
      <c r="S19" t="n">
        <v>29</v>
      </c>
      <c r="T19" t="n">
        <v>192</v>
      </c>
      <c r="U19" s="2" t="inlineStr">
        <is>
          <t>Långskägg
Doftticka
Garnlav
Gränsticka
Lappticka
Pilgrimsfalk
Ulltickeporing
Doftskinn
Gammelgransskål
Harticka
Hornvaxskinn
Lunglav
Rosenticka
Rynkskinn
Skrovellav
Tretåig hackspett
Ullticka
Violettgrå tagellav
Bårdlav
Luddlav
Mörk husmossa
Skinnlav
Spindelblomster
Stor aspticka
Stuplav
Vedticka
Järpe
Tjäder
Fläcknycklar</t>
        </is>
      </c>
      <c r="V19">
        <f>HYPERLINK("https://klasma.github.io/Logging_FORSKNINGSRESAN_2025_BJURHOLM/artfynd/Glesskallberget artfynd.xlsx", "Glesskallberget")</f>
        <v/>
      </c>
      <c r="W19">
        <f>HYPERLINK("https://klasma.github.io/Logging_FORSKNINGSRESAN_2025_BJURHOLM/kartor/Glesskallberget karta.png", "Glesskallberget")</f>
        <v/>
      </c>
      <c r="Y19">
        <f>HYPERLINK("https://klasma.github.io/Logging_FORSKNINGSRESAN_2025_BJURHOLM/klagomål/Glesskallberget FSC-klagomål.docx", "Glesskallberget")</f>
        <v/>
      </c>
      <c r="Z19">
        <f>HYPERLINK("https://klasma.github.io/Logging_FORSKNINGSRESAN_2025_BJURHOLM/klagomålsmail/Glesskallberget FSC-klagomål mail.docx", "Glesskallberget")</f>
        <v/>
      </c>
      <c r="AA19">
        <f>HYPERLINK("https://klasma.github.io/Logging_FORSKNINGSRESAN_2025_BJURHOLM/tillsyn/Glesskallberget tillsynsbegäran.docx", "Glesskallberget")</f>
        <v/>
      </c>
      <c r="AB19">
        <f>HYPERLINK("https://klasma.github.io/Logging_FORSKNINGSRESAN_2025_BJURHOLM/tillsynsmail/Glesskallberget tillsynsbegäran mail.docx", "Glesskallberget")</f>
        <v/>
      </c>
      <c r="AC19">
        <f>HYPERLINK("https://klasma.github.io/Logging_FORSKNINGSRESAN_2025_BJURHOLM/fåglar/Glesskallberget prioriterade fågelarter.docx", "Glesskallberget")</f>
        <v/>
      </c>
    </row>
    <row r="20" ht="15" customHeight="1">
      <c r="A20" t="inlineStr">
        <is>
          <t>Stormyrbäcken</t>
        </is>
      </c>
      <c r="B20" t="inlineStr">
        <is>
          <t>avverkningsanmälan</t>
        </is>
      </c>
      <c r="D20" s="1" t="n">
        <v>46221</v>
      </c>
      <c r="E20" s="1" t="n">
        <v>46221</v>
      </c>
      <c r="F20" t="inlineStr"/>
      <c r="G20" t="inlineStr">
        <is>
          <t>Bjurholm</t>
        </is>
      </c>
      <c r="H20" t="inlineStr">
        <is>
          <t>Holmen skog AB</t>
        </is>
      </c>
      <c r="I20" t="n">
        <v>14</v>
      </c>
      <c r="J20" t="n">
        <v>6</v>
      </c>
      <c r="K20" t="n">
        <v>7</v>
      </c>
      <c r="L20" t="n">
        <v>14</v>
      </c>
      <c r="M20" t="n">
        <v>5</v>
      </c>
      <c r="N20" t="n">
        <v>1</v>
      </c>
      <c r="O20" t="n">
        <v>0</v>
      </c>
      <c r="P20" t="n">
        <v>0</v>
      </c>
      <c r="Q20" t="n">
        <v>20</v>
      </c>
      <c r="R20" t="n">
        <v>6</v>
      </c>
      <c r="S20" t="n">
        <v>28</v>
      </c>
      <c r="T20" t="n">
        <v>90</v>
      </c>
      <c r="U20" s="2" t="inlineStr">
        <is>
          <t>Trådbrosklav
Garnlav
Gräddticka
Knärot
Skeletocutis delicata
Ulltickeporing
Doftskinn
Gammelgransskål
Harticka
Kötticka
Luddfingersvamp
Rosenticka
Rynkskinn
Stjärntagging
Tallticka
Talltita
Tretåig hackspett
Ullticka
Vedtrappmossa
Vitgrynig nållav
Bollvitmossa
Källmossa
Lappranunkel
Mörk husmossa
Spindelblomster
Trådticka
Vedticka
Fläcknycklar</t>
        </is>
      </c>
      <c r="V20">
        <f>HYPERLINK("https://klasma.github.io/Logging_FORSKNINGSRESAN_2025_BJURHOLM/artfynd/Stormyrbäcken artfynd.xlsx", "Stormyrbäcken")</f>
        <v/>
      </c>
      <c r="W20">
        <f>HYPERLINK("https://klasma.github.io/Logging_FORSKNINGSRESAN_2025_BJURHOLM/kartor/Stormyrbäcken karta.png", "Stormyrbäcken")</f>
        <v/>
      </c>
      <c r="X20">
        <f>HYPERLINK("https://klasma.github.io/Logging_FORSKNINGSRESAN_2025_BJURHOLM/knärot/Stormyrbäcken karta knärot.png", "Stormyrbäcken")</f>
        <v/>
      </c>
      <c r="Y20">
        <f>HYPERLINK("https://klasma.github.io/Logging_FORSKNINGSRESAN_2025_BJURHOLM/klagomål/Stormyrbäcken FSC-klagomål.docx", "Stormyrbäcken")</f>
        <v/>
      </c>
      <c r="Z20">
        <f>HYPERLINK("https://klasma.github.io/Logging_FORSKNINGSRESAN_2025_BJURHOLM/klagomålsmail/Stormyrbäcken FSC-klagomål mail.docx", "Stormyrbäcken")</f>
        <v/>
      </c>
      <c r="AA20">
        <f>HYPERLINK("https://klasma.github.io/Logging_FORSKNINGSRESAN_2025_BJURHOLM/tillsyn/Stormyrbäcken tillsynsbegäran.docx", "Stormyrbäcken")</f>
        <v/>
      </c>
      <c r="AB20">
        <f>HYPERLINK("https://klasma.github.io/Logging_FORSKNINGSRESAN_2025_BJURHOLM/tillsynsmail/Stormyrbäcken tillsynsbegäran mail.docx", "Stormyrbäcken")</f>
        <v/>
      </c>
      <c r="AC20">
        <f>HYPERLINK("https://klasma.github.io/Logging_FORSKNINGSRESAN_2025_BJURHOLM/fåglar/Stormyrbäcken prioriterade fågelarter.docx", "Stormyrbäcken")</f>
        <v/>
      </c>
    </row>
    <row r="21" ht="15" customHeight="1">
      <c r="A21" t="inlineStr">
        <is>
          <t>Bastuberget</t>
        </is>
      </c>
      <c r="B21" t="inlineStr">
        <is>
          <t>avverkningsanmälan</t>
        </is>
      </c>
      <c r="D21" s="1" t="n">
        <v>46221</v>
      </c>
      <c r="E21" s="1" t="n">
        <v>46221</v>
      </c>
      <c r="F21" t="inlineStr"/>
      <c r="G21" t="inlineStr">
        <is>
          <t>Bjurholm</t>
        </is>
      </c>
      <c r="H21" t="inlineStr">
        <is>
          <t>SCA</t>
        </is>
      </c>
      <c r="I21" t="n">
        <v>170.1</v>
      </c>
      <c r="J21" t="n">
        <v>7</v>
      </c>
      <c r="K21" t="n">
        <v>7</v>
      </c>
      <c r="L21" t="n">
        <v>14</v>
      </c>
      <c r="M21" t="n">
        <v>3</v>
      </c>
      <c r="N21" t="n">
        <v>0</v>
      </c>
      <c r="O21" t="n">
        <v>0</v>
      </c>
      <c r="P21" t="n">
        <v>0</v>
      </c>
      <c r="Q21" t="n">
        <v>17</v>
      </c>
      <c r="R21" t="n">
        <v>3</v>
      </c>
      <c r="S21" t="n">
        <v>26</v>
      </c>
      <c r="T21" t="n">
        <v>67</v>
      </c>
      <c r="U21" s="2" t="inlineStr">
        <is>
          <t>Fläckporing
Garnlav
Knärot
Blå taggsvamp
Doftskinn
Dropptaggsvamp
Dvärgbägarlav
Gammelgransskål
Kolflarnlav
Lavskrika
Lunglav
Mörk kolflarnlav
Orange taggsvamp
Talltita
Tretåig hackspett
Ullticka
Violettgrå tagellav
Bårdlav
Korallrot
Mörk husmossa
Skinnlav
Stuplav
Vedticka
Ögonpyrola
Orre
Fläcknycklar</t>
        </is>
      </c>
      <c r="V21">
        <f>HYPERLINK("https://klasma.github.io/Logging_FORSKNINGSRESAN_2025_BJURHOLM/artfynd/Bastuberget artfynd.xlsx", "Bastuberget")</f>
        <v/>
      </c>
      <c r="W21">
        <f>HYPERLINK("https://klasma.github.io/Logging_FORSKNINGSRESAN_2025_BJURHOLM/kartor/Bastuberget karta.png", "Bastuberget")</f>
        <v/>
      </c>
      <c r="X21">
        <f>HYPERLINK("https://klasma.github.io/Logging_FORSKNINGSRESAN_2025_BJURHOLM/knärot/Bastuberget karta knärot.png", "Bastuberget")</f>
        <v/>
      </c>
      <c r="Y21">
        <f>HYPERLINK("https://klasma.github.io/Logging_FORSKNINGSRESAN_2025_BJURHOLM/klagomål/Bastuberget FSC-klagomål.docx", "Bastuberget")</f>
        <v/>
      </c>
      <c r="Z21">
        <f>HYPERLINK("https://klasma.github.io/Logging_FORSKNINGSRESAN_2025_BJURHOLM/klagomålsmail/Bastuberget FSC-klagomål mail.docx", "Bastuberget")</f>
        <v/>
      </c>
      <c r="AA21">
        <f>HYPERLINK("https://klasma.github.io/Logging_FORSKNINGSRESAN_2025_BJURHOLM/tillsyn/Bastuberget tillsynsbegäran.docx", "Bastuberget")</f>
        <v/>
      </c>
      <c r="AB21">
        <f>HYPERLINK("https://klasma.github.io/Logging_FORSKNINGSRESAN_2025_BJURHOLM/tillsynsmail/Bastuberget tillsynsbegäran mail.docx", "Bastuberget")</f>
        <v/>
      </c>
      <c r="AC21">
        <f>HYPERLINK("https://klasma.github.io/Logging_FORSKNINGSRESAN_2025_BJURHOLM/fåglar/Bastuberget prioriterade fågelarter.docx", "Bastuberget")</f>
        <v/>
      </c>
    </row>
    <row r="22" ht="15" customHeight="1">
      <c r="A22" t="inlineStr">
        <is>
          <t>Lögdeälven käringberget</t>
        </is>
      </c>
      <c r="B22" t="inlineStr">
        <is>
          <t>avverkningsanmälan</t>
        </is>
      </c>
      <c r="D22" s="1" t="n">
        <v>46221</v>
      </c>
      <c r="E22" s="1" t="n">
        <v>46221</v>
      </c>
      <c r="F22" t="inlineStr"/>
      <c r="G22" t="inlineStr">
        <is>
          <t>Bjurholm</t>
        </is>
      </c>
      <c r="H22" t="inlineStr">
        <is>
          <t>Sveaskog</t>
        </is>
      </c>
      <c r="I22" t="n">
        <v>534.2</v>
      </c>
      <c r="J22" t="n">
        <v>11</v>
      </c>
      <c r="K22" t="n">
        <v>0</v>
      </c>
      <c r="L22" t="n">
        <v>16</v>
      </c>
      <c r="M22" t="n">
        <v>3</v>
      </c>
      <c r="N22" t="n">
        <v>0</v>
      </c>
      <c r="O22" t="n">
        <v>0</v>
      </c>
      <c r="P22" t="n">
        <v>0</v>
      </c>
      <c r="Q22" t="n">
        <v>19</v>
      </c>
      <c r="R22" t="n">
        <v>3</v>
      </c>
      <c r="S22" t="n">
        <v>26</v>
      </c>
      <c r="T22" t="n">
        <v>66</v>
      </c>
      <c r="U22" s="2" t="inlineStr">
        <is>
          <t>Goliatmusseron
Gräddticka
Ringlav
Dropptaggsvamp
Dvärgbägarlav
Enkelbeckasin
Gammelgransskål
Göktyta
Lavskrika
Lunglav
Odinia xanthocera
Ravinspjutvingefluga
Reliktbock
Rynkskinn
Skarp dropptaggsvamp
Tretåig hackspett
Vedtrappmossa
Violettgrå tagellav
Älg
Gråspett
Spillkråka
Tjäder
Buskskvätta
Grönsiska
Kungsfågel
Orre</t>
        </is>
      </c>
      <c r="V22">
        <f>HYPERLINK("https://klasma.github.io/Logging_FORSKNINGSRESAN_2025_BJURHOLM/artfynd/Lögdeälven käringberget artfynd.xlsx", "Lögdeälven käringberget")</f>
        <v/>
      </c>
      <c r="W22">
        <f>HYPERLINK("https://klasma.github.io/Logging_FORSKNINGSRESAN_2025_BJURHOLM/kartor/Lögdeälven käringberget karta.png", "Lögdeälven käringberget")</f>
        <v/>
      </c>
      <c r="Y22">
        <f>HYPERLINK("https://klasma.github.io/Logging_FORSKNINGSRESAN_2025_BJURHOLM/klagomål/Lögdeälven käringberget FSC-klagomål.docx", "Lögdeälven käringberget")</f>
        <v/>
      </c>
      <c r="Z22">
        <f>HYPERLINK("https://klasma.github.io/Logging_FORSKNINGSRESAN_2025_BJURHOLM/klagomålsmail/Lögdeälven käringberget FSC-klagomål mail.docx", "Lögdeälven käringberget")</f>
        <v/>
      </c>
      <c r="AA22">
        <f>HYPERLINK("https://klasma.github.io/Logging_FORSKNINGSRESAN_2025_BJURHOLM/tillsyn/Lögdeälven käringberget tillsynsbegäran.docx", "Lögdeälven käringberget")</f>
        <v/>
      </c>
      <c r="AB22">
        <f>HYPERLINK("https://klasma.github.io/Logging_FORSKNINGSRESAN_2025_BJURHOLM/tillsynsmail/Lögdeälven käringberget tillsynsbegäran mail.docx", "Lögdeälven käringberget")</f>
        <v/>
      </c>
      <c r="AC22">
        <f>HYPERLINK("https://klasma.github.io/Logging_FORSKNINGSRESAN_2025_BJURHOLM/fåglar/Lögdeälven käringberget prioriterade fågelarter.docx", "Lögdeälven käringberget")</f>
        <v/>
      </c>
    </row>
    <row r="23" ht="15" customHeight="1">
      <c r="A23" t="inlineStr">
        <is>
          <t>Gåsselmyran</t>
        </is>
      </c>
      <c r="B23" t="inlineStr">
        <is>
          <t>avverkningsanmälan</t>
        </is>
      </c>
      <c r="D23" s="1" t="n">
        <v>46221</v>
      </c>
      <c r="E23" s="1" t="n">
        <v>46221</v>
      </c>
      <c r="F23" t="inlineStr"/>
      <c r="G23" t="inlineStr">
        <is>
          <t>Bjurholm</t>
        </is>
      </c>
      <c r="H23" t="inlineStr">
        <is>
          <t>SCA</t>
        </is>
      </c>
      <c r="I23" t="n">
        <v>78.7</v>
      </c>
      <c r="J23" t="n">
        <v>1</v>
      </c>
      <c r="K23" t="n">
        <v>1</v>
      </c>
      <c r="L23" t="n">
        <v>16</v>
      </c>
      <c r="M23" t="n">
        <v>7</v>
      </c>
      <c r="N23" t="n">
        <v>0</v>
      </c>
      <c r="O23" t="n">
        <v>0</v>
      </c>
      <c r="P23" t="n">
        <v>0</v>
      </c>
      <c r="Q23" t="n">
        <v>23</v>
      </c>
      <c r="R23" t="n">
        <v>7</v>
      </c>
      <c r="S23" t="n">
        <v>25</v>
      </c>
      <c r="T23" t="n">
        <v>69</v>
      </c>
      <c r="U23" s="2" t="inlineStr">
        <is>
          <t>Garnlav
Gräddporing
Gränsticka
Skrovlig taggsvamp
Smalfotad taggsvamp
Spadskinn
Tajgataggsvamp
Blanksvart spiklav
Blå taggsvamp
Blågrå svartspik
Dropptaggsvamp
Dvärgbägarlav
Kolflarnlav
Motaggsvamp
Mörk kolflarnlav
Nordtagging
Orange taggsvamp
Reliktbock
Talltagel
Tallticka
Vaddporing
Vedflamlav
Vedskivlav
Bollvitmossa
Utter</t>
        </is>
      </c>
      <c r="V23">
        <f>HYPERLINK("https://klasma.github.io/Logging_FORSKNINGSRESAN_2025_BJURHOLM/artfynd/Gåsselmyran artfynd.xlsx", "Gåsselmyran")</f>
        <v/>
      </c>
      <c r="W23">
        <f>HYPERLINK("https://klasma.github.io/Logging_FORSKNINGSRESAN_2025_BJURHOLM/kartor/Gåsselmyran karta.png", "Gåsselmyran")</f>
        <v/>
      </c>
      <c r="Y23">
        <f>HYPERLINK("https://klasma.github.io/Logging_FORSKNINGSRESAN_2025_BJURHOLM/klagomål/Gåsselmyran FSC-klagomål.docx", "Gåsselmyran")</f>
        <v/>
      </c>
      <c r="Z23">
        <f>HYPERLINK("https://klasma.github.io/Logging_FORSKNINGSRESAN_2025_BJURHOLM/klagomålsmail/Gåsselmyran FSC-klagomål mail.docx", "Gåsselmyran")</f>
        <v/>
      </c>
      <c r="AA23">
        <f>HYPERLINK("https://klasma.github.io/Logging_FORSKNINGSRESAN_2025_BJURHOLM/tillsyn/Gåsselmyran tillsynsbegäran.docx", "Gåsselmyran")</f>
        <v/>
      </c>
      <c r="AB23">
        <f>HYPERLINK("https://klasma.github.io/Logging_FORSKNINGSRESAN_2025_BJURHOLM/tillsynsmail/Gåsselmyran tillsynsbegäran mail.docx", "Gåsselmyran")</f>
        <v/>
      </c>
    </row>
    <row r="24" ht="15" customHeight="1">
      <c r="A24" t="inlineStr">
        <is>
          <t>Käringberget SV</t>
        </is>
      </c>
      <c r="B24" t="inlineStr">
        <is>
          <t>avverkningsanmälan</t>
        </is>
      </c>
      <c r="D24" s="1" t="n">
        <v>46221</v>
      </c>
      <c r="E24" s="1" t="n">
        <v>46221</v>
      </c>
      <c r="F24" t="inlineStr"/>
      <c r="G24" t="inlineStr">
        <is>
          <t>Bjurholm</t>
        </is>
      </c>
      <c r="H24" t="inlineStr">
        <is>
          <t>Sveaskog</t>
        </is>
      </c>
      <c r="I24" t="n">
        <v>143.6</v>
      </c>
      <c r="J24" t="n">
        <v>4</v>
      </c>
      <c r="K24" t="n">
        <v>7</v>
      </c>
      <c r="L24" t="n">
        <v>11</v>
      </c>
      <c r="M24" t="n">
        <v>6</v>
      </c>
      <c r="N24" t="n">
        <v>0</v>
      </c>
      <c r="O24" t="n">
        <v>0</v>
      </c>
      <c r="P24" t="n">
        <v>0</v>
      </c>
      <c r="Q24" t="n">
        <v>17</v>
      </c>
      <c r="R24" t="n">
        <v>6</v>
      </c>
      <c r="S24" t="n">
        <v>25</v>
      </c>
      <c r="T24" t="n">
        <v>63</v>
      </c>
      <c r="U24" s="2" t="inlineStr">
        <is>
          <t>Garnlav
Goliatmusseron
Lammticka
Laxgröppa
Skrovlig taggsvamp
Smalfotad taggsvamp
Dropptaggsvamp
Dvärgbägarlav
Kolflarnlav
Lunglav
Motaggsvamp
Mörk kolflarnlav
Skarp dropptaggsvamp
Småflikig brosklav
Tajgahumla
Tretåig hackspett
Vaddporing
Aspvedgnagare
Björksplintborre
Luddlav
Plattlummer
Skinnlav
Spindelblomster
Vedticka
Utter</t>
        </is>
      </c>
      <c r="V24">
        <f>HYPERLINK("https://klasma.github.io/Logging_FORSKNINGSRESAN_2025_BJURHOLM/artfynd/Käringberget SV artfynd.xlsx", "Käringberget SV")</f>
        <v/>
      </c>
      <c r="W24">
        <f>HYPERLINK("https://klasma.github.io/Logging_FORSKNINGSRESAN_2025_BJURHOLM/kartor/Käringberget SV karta.png", "Käringberget SV")</f>
        <v/>
      </c>
      <c r="Y24">
        <f>HYPERLINK("https://klasma.github.io/Logging_FORSKNINGSRESAN_2025_BJURHOLM/klagomål/Käringberget SV FSC-klagomål.docx", "Käringberget SV")</f>
        <v/>
      </c>
      <c r="Z24">
        <f>HYPERLINK("https://klasma.github.io/Logging_FORSKNINGSRESAN_2025_BJURHOLM/klagomålsmail/Käringberget SV FSC-klagomål mail.docx", "Käringberget SV")</f>
        <v/>
      </c>
      <c r="AA24">
        <f>HYPERLINK("https://klasma.github.io/Logging_FORSKNINGSRESAN_2025_BJURHOLM/tillsyn/Käringberget SV tillsynsbegäran.docx", "Käringberget SV")</f>
        <v/>
      </c>
      <c r="AB24">
        <f>HYPERLINK("https://klasma.github.io/Logging_FORSKNINGSRESAN_2025_BJURHOLM/tillsynsmail/Käringberget SV tillsynsbegäran mail.docx", "Käringberget SV")</f>
        <v/>
      </c>
      <c r="AC24">
        <f>HYPERLINK("https://klasma.github.io/Logging_FORSKNINGSRESAN_2025_BJURHOLM/fåglar/Käringberget SV prioriterade fågelarter.docx", "Käringberget SV")</f>
        <v/>
      </c>
    </row>
    <row r="25" ht="15" customHeight="1">
      <c r="A25" t="inlineStr">
        <is>
          <t>Vitstensberget</t>
        </is>
      </c>
      <c r="B25" t="inlineStr">
        <is>
          <t>avverkningsanmälan</t>
        </is>
      </c>
      <c r="D25" s="1" t="n">
        <v>46221</v>
      </c>
      <c r="E25" s="1" t="n">
        <v>46221</v>
      </c>
      <c r="F25" t="inlineStr"/>
      <c r="G25" t="inlineStr">
        <is>
          <t>Bjurholm</t>
        </is>
      </c>
      <c r="H25" t="inlineStr">
        <is>
          <t>Holmen skog AB</t>
        </is>
      </c>
      <c r="I25" t="n">
        <v>93.3</v>
      </c>
      <c r="J25" t="n">
        <v>6</v>
      </c>
      <c r="K25" t="n">
        <v>9</v>
      </c>
      <c r="L25" t="n">
        <v>8</v>
      </c>
      <c r="M25" t="n">
        <v>2</v>
      </c>
      <c r="N25" t="n">
        <v>0</v>
      </c>
      <c r="O25" t="n">
        <v>0</v>
      </c>
      <c r="P25" t="n">
        <v>0</v>
      </c>
      <c r="Q25" t="n">
        <v>10</v>
      </c>
      <c r="R25" t="n">
        <v>2</v>
      </c>
      <c r="S25" t="n">
        <v>24</v>
      </c>
      <c r="T25" t="n">
        <v>43</v>
      </c>
      <c r="U25" s="2" t="inlineStr">
        <is>
          <t>Doftticka
Fläckporing
Doftskinn
Gammelgransskål
Lunglav
Rosenticka
Skrovellav
Stjärntagging
Ullticka
Violettgrå tagellav
Barkticka
Bårdlav
Gullgröppa
Luddlav
Skinnlav
Skogshakmossa
Stor aspticka
Strutbräken
Stuplav
Järpe
Tjäder
Orre
Smålom
Fläcknycklar</t>
        </is>
      </c>
      <c r="V25">
        <f>HYPERLINK("https://klasma.github.io/Logging_FORSKNINGSRESAN_2025_BJURHOLM/artfynd/Vitstensberget artfynd.xlsx", "Vitstensberget")</f>
        <v/>
      </c>
      <c r="W25">
        <f>HYPERLINK("https://klasma.github.io/Logging_FORSKNINGSRESAN_2025_BJURHOLM/kartor/Vitstensberget karta.png", "Vitstensberget")</f>
        <v/>
      </c>
      <c r="Y25">
        <f>HYPERLINK("https://klasma.github.io/Logging_FORSKNINGSRESAN_2025_BJURHOLM/klagomål/Vitstensberget FSC-klagomål.docx", "Vitstensberget")</f>
        <v/>
      </c>
      <c r="Z25">
        <f>HYPERLINK("https://klasma.github.io/Logging_FORSKNINGSRESAN_2025_BJURHOLM/klagomålsmail/Vitstensberget FSC-klagomål mail.docx", "Vitstensberget")</f>
        <v/>
      </c>
      <c r="AA25">
        <f>HYPERLINK("https://klasma.github.io/Logging_FORSKNINGSRESAN_2025_BJURHOLM/tillsyn/Vitstensberget tillsynsbegäran.docx", "Vitstensberget")</f>
        <v/>
      </c>
      <c r="AB25">
        <f>HYPERLINK("https://klasma.github.io/Logging_FORSKNINGSRESAN_2025_BJURHOLM/tillsynsmail/Vitstensberget tillsynsbegäran mail.docx", "Vitstensberget")</f>
        <v/>
      </c>
      <c r="AC25">
        <f>HYPERLINK("https://klasma.github.io/Logging_FORSKNINGSRESAN_2025_BJURHOLM/fåglar/Vitstensberget prioriterade fågelarter.docx", "Vitstensberget")</f>
        <v/>
      </c>
    </row>
    <row r="26" ht="15" customHeight="1">
      <c r="A26" t="inlineStr">
        <is>
          <t>Karlstjärnberget</t>
        </is>
      </c>
      <c r="B26" t="inlineStr">
        <is>
          <t>avverkningsanmälan</t>
        </is>
      </c>
      <c r="D26" s="1" t="n">
        <v>46221</v>
      </c>
      <c r="E26" s="1" t="n">
        <v>46221</v>
      </c>
      <c r="F26" t="inlineStr"/>
      <c r="G26" t="inlineStr">
        <is>
          <t>Bjurholm</t>
        </is>
      </c>
      <c r="H26" t="inlineStr">
        <is>
          <t>SCA</t>
        </is>
      </c>
      <c r="I26" t="n">
        <v>56.4</v>
      </c>
      <c r="J26" t="n">
        <v>2</v>
      </c>
      <c r="K26" t="n">
        <v>3</v>
      </c>
      <c r="L26" t="n">
        <v>14</v>
      </c>
      <c r="M26" t="n">
        <v>6</v>
      </c>
      <c r="N26" t="n">
        <v>0</v>
      </c>
      <c r="O26" t="n">
        <v>0</v>
      </c>
      <c r="P26" t="n">
        <v>0</v>
      </c>
      <c r="Q26" t="n">
        <v>20</v>
      </c>
      <c r="R26" t="n">
        <v>6</v>
      </c>
      <c r="S26" t="n">
        <v>24</v>
      </c>
      <c r="T26" t="n">
        <v>48</v>
      </c>
      <c r="U26" s="2" t="inlineStr">
        <is>
          <t>Aspfjädermossa
Aspgelélav
Fläckporing
Garnlav
Knärot
Skrovlig taggsvamp
Blanksvart spiklav
Blå taggsvamp
Dropptaggsvamp
Kolflarnlav
Koralltaggsvamp
Lunglav
Mörk kolflarnlav
Nordtagging
Orange taggsvamp
Reliktbock
Stiftgelélav
Stjärntagging
Vaddporing
Violettgrå tagellav
Skinnlav
Stor aspticka
Vedticka
Orre</t>
        </is>
      </c>
      <c r="V26">
        <f>HYPERLINK("https://klasma.github.io/Logging_FORSKNINGSRESAN_2025_BJURHOLM/artfynd/Karlstjärnberget artfynd.xlsx", "Karlstjärnberget")</f>
        <v/>
      </c>
      <c r="W26">
        <f>HYPERLINK("https://klasma.github.io/Logging_FORSKNINGSRESAN_2025_BJURHOLM/kartor/Karlstjärnberget karta.png", "Karlstjärnberget")</f>
        <v/>
      </c>
      <c r="X26">
        <f>HYPERLINK("https://klasma.github.io/Logging_FORSKNINGSRESAN_2025_BJURHOLM/knärot/Karlstjärnberget karta knärot.png", "Karlstjärnberget")</f>
        <v/>
      </c>
      <c r="Y26">
        <f>HYPERLINK("https://klasma.github.io/Logging_FORSKNINGSRESAN_2025_BJURHOLM/klagomål/Karlstjärnberget FSC-klagomål.docx", "Karlstjärnberget")</f>
        <v/>
      </c>
      <c r="Z26">
        <f>HYPERLINK("https://klasma.github.io/Logging_FORSKNINGSRESAN_2025_BJURHOLM/klagomålsmail/Karlstjärnberget FSC-klagomål mail.docx", "Karlstjärnberget")</f>
        <v/>
      </c>
      <c r="AA26">
        <f>HYPERLINK("https://klasma.github.io/Logging_FORSKNINGSRESAN_2025_BJURHOLM/tillsyn/Karlstjärnberget tillsynsbegäran.docx", "Karlstjärnberget")</f>
        <v/>
      </c>
      <c r="AB26">
        <f>HYPERLINK("https://klasma.github.io/Logging_FORSKNINGSRESAN_2025_BJURHOLM/tillsynsmail/Karlstjärnberget tillsynsbegäran mail.docx", "Karlstjärnberget")</f>
        <v/>
      </c>
      <c r="AC26">
        <f>HYPERLINK("https://klasma.github.io/Logging_FORSKNINGSRESAN_2025_BJURHOLM/fåglar/Karlstjärnberget prioriterade fågelarter.docx", "Karlstjärnberget")</f>
        <v/>
      </c>
    </row>
    <row r="27" ht="15" customHeight="1">
      <c r="A27" t="inlineStr">
        <is>
          <t>Herrbergsliden norr</t>
        </is>
      </c>
      <c r="B27" t="inlineStr">
        <is>
          <t>avverkningsanmälan</t>
        </is>
      </c>
      <c r="D27" s="1" t="n">
        <v>46221</v>
      </c>
      <c r="E27" s="1" t="n">
        <v>46221</v>
      </c>
      <c r="F27" t="inlineStr"/>
      <c r="G27" t="inlineStr">
        <is>
          <t>Bjurholm</t>
        </is>
      </c>
      <c r="H27" t="inlineStr">
        <is>
          <t>Holmen skog AB</t>
        </is>
      </c>
      <c r="I27" t="n">
        <v>72.59999999999999</v>
      </c>
      <c r="J27" t="n">
        <v>4</v>
      </c>
      <c r="K27" t="n">
        <v>8</v>
      </c>
      <c r="L27" t="n">
        <v>8</v>
      </c>
      <c r="M27" t="n">
        <v>7</v>
      </c>
      <c r="N27" t="n">
        <v>0</v>
      </c>
      <c r="O27" t="n">
        <v>0</v>
      </c>
      <c r="P27" t="n">
        <v>0</v>
      </c>
      <c r="Q27" t="n">
        <v>15</v>
      </c>
      <c r="R27" t="n">
        <v>7</v>
      </c>
      <c r="S27" t="n">
        <v>23</v>
      </c>
      <c r="T27" t="n">
        <v>160</v>
      </c>
      <c r="U27" s="2" t="inlineStr">
        <is>
          <t>Blackticka
Doftticka
Garnlav
Gränsticka
Knärot
Lappticka
Ulltickeporing
Harticka
Lunglav
Rosenticka
Rynkskinn
Småflikig brosklav
Tretåig hackspett
Ullticka
Violettgrå tagellav
Bårdlav
Grönpyrola
Korallblylav
Skinnlav
Spindelblomster
Stor aspticka
Stuplav
Vedticka</t>
        </is>
      </c>
      <c r="V27">
        <f>HYPERLINK("https://klasma.github.io/Logging_FORSKNINGSRESAN_2025_BJURHOLM/artfynd/Herrbergsliden norr artfynd.xlsx", "Herrbergsliden norr")</f>
        <v/>
      </c>
      <c r="W27">
        <f>HYPERLINK("https://klasma.github.io/Logging_FORSKNINGSRESAN_2025_BJURHOLM/kartor/Herrbergsliden norr karta.png", "Herrbergsliden norr")</f>
        <v/>
      </c>
      <c r="X27">
        <f>HYPERLINK("https://klasma.github.io/Logging_FORSKNINGSRESAN_2025_BJURHOLM/knärot/Herrbergsliden norr karta knärot.png", "Herrbergsliden norr")</f>
        <v/>
      </c>
      <c r="Y27">
        <f>HYPERLINK("https://klasma.github.io/Logging_FORSKNINGSRESAN_2025_BJURHOLM/klagomål/Herrbergsliden norr FSC-klagomål.docx", "Herrbergsliden norr")</f>
        <v/>
      </c>
      <c r="Z27">
        <f>HYPERLINK("https://klasma.github.io/Logging_FORSKNINGSRESAN_2025_BJURHOLM/klagomålsmail/Herrbergsliden norr FSC-klagomål mail.docx", "Herrbergsliden norr")</f>
        <v/>
      </c>
      <c r="AA27">
        <f>HYPERLINK("https://klasma.github.io/Logging_FORSKNINGSRESAN_2025_BJURHOLM/tillsyn/Herrbergsliden norr tillsynsbegäran.docx", "Herrbergsliden norr")</f>
        <v/>
      </c>
      <c r="AB27">
        <f>HYPERLINK("https://klasma.github.io/Logging_FORSKNINGSRESAN_2025_BJURHOLM/tillsynsmail/Herrbergsliden norr tillsynsbegäran mail.docx", "Herrbergsliden norr")</f>
        <v/>
      </c>
      <c r="AC27">
        <f>HYPERLINK("https://klasma.github.io/Logging_FORSKNINGSRESAN_2025_BJURHOLM/fåglar/Herrbergsliden norr prioriterade fågelarter.docx", "Herrbergsliden norr")</f>
        <v/>
      </c>
    </row>
    <row r="28" ht="15" customHeight="1">
      <c r="A28" t="inlineStr">
        <is>
          <t>Björnberget SV</t>
        </is>
      </c>
      <c r="B28" t="inlineStr">
        <is>
          <t>avverkningsanmälan</t>
        </is>
      </c>
      <c r="D28" s="1" t="n">
        <v>46221</v>
      </c>
      <c r="E28" s="1" t="n">
        <v>46221</v>
      </c>
      <c r="F28" t="inlineStr"/>
      <c r="G28" t="inlineStr">
        <is>
          <t>Bjurholm</t>
        </is>
      </c>
      <c r="H28" t="inlineStr">
        <is>
          <t>SCA</t>
        </is>
      </c>
      <c r="I28" t="n">
        <v>57.7</v>
      </c>
      <c r="J28" t="n">
        <v>5</v>
      </c>
      <c r="K28" t="n">
        <v>5</v>
      </c>
      <c r="L28" t="n">
        <v>10</v>
      </c>
      <c r="M28" t="n">
        <v>5</v>
      </c>
      <c r="N28" t="n">
        <v>0</v>
      </c>
      <c r="O28" t="n">
        <v>0</v>
      </c>
      <c r="P28" t="n">
        <v>0</v>
      </c>
      <c r="Q28" t="n">
        <v>15</v>
      </c>
      <c r="R28" t="n">
        <v>5</v>
      </c>
      <c r="S28" t="n">
        <v>22</v>
      </c>
      <c r="T28" t="n">
        <v>32</v>
      </c>
      <c r="U28" s="2" t="inlineStr">
        <is>
          <t>Garnlav
Knärot
Liten aspgelélav
Skrovlig taggsvamp
Tornseglare
Dropptaggsvamp
Dvärgbägarlav
Gammelgransskål
Göktyta
Lunglav
Mörk kolflarnlav
Nordtagging
Orange taggsvamp
Reliktbock
Älg
Barkticka
Bårdlav
Skinnlav
Stor aspticka
Stuplav
Kungsfågel
Fläcknycklar</t>
        </is>
      </c>
      <c r="V28">
        <f>HYPERLINK("https://klasma.github.io/Logging_FORSKNINGSRESAN_2025_BJURHOLM/artfynd/Björnberget SV artfynd.xlsx", "Björnberget SV")</f>
        <v/>
      </c>
      <c r="W28">
        <f>HYPERLINK("https://klasma.github.io/Logging_FORSKNINGSRESAN_2025_BJURHOLM/kartor/Björnberget SV karta.png", "Björnberget SV")</f>
        <v/>
      </c>
      <c r="X28">
        <f>HYPERLINK("https://klasma.github.io/Logging_FORSKNINGSRESAN_2025_BJURHOLM/knärot/Björnberget SV karta knärot.png", "Björnberget SV")</f>
        <v/>
      </c>
      <c r="Y28">
        <f>HYPERLINK("https://klasma.github.io/Logging_FORSKNINGSRESAN_2025_BJURHOLM/klagomål/Björnberget SV FSC-klagomål.docx", "Björnberget SV")</f>
        <v/>
      </c>
      <c r="Z28">
        <f>HYPERLINK("https://klasma.github.io/Logging_FORSKNINGSRESAN_2025_BJURHOLM/klagomålsmail/Björnberget SV FSC-klagomål mail.docx", "Björnberget SV")</f>
        <v/>
      </c>
      <c r="AA28">
        <f>HYPERLINK("https://klasma.github.io/Logging_FORSKNINGSRESAN_2025_BJURHOLM/tillsyn/Björnberget SV tillsynsbegäran.docx", "Björnberget SV")</f>
        <v/>
      </c>
      <c r="AB28">
        <f>HYPERLINK("https://klasma.github.io/Logging_FORSKNINGSRESAN_2025_BJURHOLM/tillsynsmail/Björnberget SV tillsynsbegäran mail.docx", "Björnberget SV")</f>
        <v/>
      </c>
      <c r="AC28">
        <f>HYPERLINK("https://klasma.github.io/Logging_FORSKNINGSRESAN_2025_BJURHOLM/fåglar/Björnberget SV prioriterade fågelarter.docx", "Björnberget SV")</f>
        <v/>
      </c>
    </row>
    <row r="29" ht="15" customHeight="1">
      <c r="A29" t="inlineStr">
        <is>
          <t>Björnberget NV</t>
        </is>
      </c>
      <c r="B29" t="inlineStr">
        <is>
          <t>avverkningsanmälan</t>
        </is>
      </c>
      <c r="D29" s="1" t="n">
        <v>46221</v>
      </c>
      <c r="E29" s="1" t="n">
        <v>46221</v>
      </c>
      <c r="F29" t="inlineStr"/>
      <c r="G29" t="inlineStr">
        <is>
          <t>Bjurholm</t>
        </is>
      </c>
      <c r="H29" t="inlineStr">
        <is>
          <t>SCA</t>
        </is>
      </c>
      <c r="I29" t="n">
        <v>80.59999999999999</v>
      </c>
      <c r="J29" t="n">
        <v>1</v>
      </c>
      <c r="K29" t="n">
        <v>7</v>
      </c>
      <c r="L29" t="n">
        <v>13</v>
      </c>
      <c r="M29" t="n">
        <v>2</v>
      </c>
      <c r="N29" t="n">
        <v>0</v>
      </c>
      <c r="O29" t="n">
        <v>0</v>
      </c>
      <c r="P29" t="n">
        <v>0</v>
      </c>
      <c r="Q29" t="n">
        <v>15</v>
      </c>
      <c r="R29" t="n">
        <v>2</v>
      </c>
      <c r="S29" t="n">
        <v>22</v>
      </c>
      <c r="T29" t="n">
        <v>55</v>
      </c>
      <c r="U29" s="2" t="inlineStr">
        <is>
          <t>Garnlav
Skrovlig taggsvamp
Blå taggsvamp
Doftskinn
Dropptaggsvamp
Lavskrika
Lunglav
Mörk kolflarnlav
Orange taggsvamp
Skarp dropptaggsvamp
Skuggblåslav
Småflikig brosklav
Tallticka
Ullticka
Violettgrå tagellav
Bronshjon
Bårdlav
Korallblylav
Luddlav
Norrlandslav
Stuplav
Vedticka</t>
        </is>
      </c>
      <c r="V29">
        <f>HYPERLINK("https://klasma.github.io/Logging_FORSKNINGSRESAN_2025_BJURHOLM/artfynd/Björnberget NV artfynd.xlsx", "Björnberget NV")</f>
        <v/>
      </c>
      <c r="W29">
        <f>HYPERLINK("https://klasma.github.io/Logging_FORSKNINGSRESAN_2025_BJURHOLM/kartor/Björnberget NV karta.png", "Björnberget NV")</f>
        <v/>
      </c>
      <c r="Y29">
        <f>HYPERLINK("https://klasma.github.io/Logging_FORSKNINGSRESAN_2025_BJURHOLM/klagomål/Björnberget NV FSC-klagomål.docx", "Björnberget NV")</f>
        <v/>
      </c>
      <c r="Z29">
        <f>HYPERLINK("https://klasma.github.io/Logging_FORSKNINGSRESAN_2025_BJURHOLM/klagomålsmail/Björnberget NV FSC-klagomål mail.docx", "Björnberget NV")</f>
        <v/>
      </c>
      <c r="AA29">
        <f>HYPERLINK("https://klasma.github.io/Logging_FORSKNINGSRESAN_2025_BJURHOLM/tillsyn/Björnberget NV tillsynsbegäran.docx", "Björnberget NV")</f>
        <v/>
      </c>
      <c r="AB29">
        <f>HYPERLINK("https://klasma.github.io/Logging_FORSKNINGSRESAN_2025_BJURHOLM/tillsynsmail/Björnberget NV tillsynsbegäran mail.docx", "Björnberget NV")</f>
        <v/>
      </c>
      <c r="AC29">
        <f>HYPERLINK("https://klasma.github.io/Logging_FORSKNINGSRESAN_2025_BJURHOLM/fåglar/Björnberget NV prioriterade fågelarter.docx", "Björnberget NV")</f>
        <v/>
      </c>
    </row>
    <row r="30" ht="15" customHeight="1">
      <c r="A30" t="inlineStr">
        <is>
          <t>Kläpptjärnen</t>
        </is>
      </c>
      <c r="B30" t="inlineStr">
        <is>
          <t>avverkningsanmälan</t>
        </is>
      </c>
      <c r="D30" s="1" t="n">
        <v>46221</v>
      </c>
      <c r="E30" s="1" t="n">
        <v>46221</v>
      </c>
      <c r="F30" t="inlineStr"/>
      <c r="G30" t="inlineStr">
        <is>
          <t>Bjurholm</t>
        </is>
      </c>
      <c r="H30" t="inlineStr">
        <is>
          <t>SCA</t>
        </is>
      </c>
      <c r="I30" t="n">
        <v>113.3</v>
      </c>
      <c r="J30" t="n">
        <v>4</v>
      </c>
      <c r="K30" t="n">
        <v>1</v>
      </c>
      <c r="L30" t="n">
        <v>15</v>
      </c>
      <c r="M30" t="n">
        <v>3</v>
      </c>
      <c r="N30" t="n">
        <v>0</v>
      </c>
      <c r="O30" t="n">
        <v>0</v>
      </c>
      <c r="P30" t="n">
        <v>0</v>
      </c>
      <c r="Q30" t="n">
        <v>18</v>
      </c>
      <c r="R30" t="n">
        <v>3</v>
      </c>
      <c r="S30" t="n">
        <v>21</v>
      </c>
      <c r="T30" t="n">
        <v>45</v>
      </c>
      <c r="U30" s="2" t="inlineStr">
        <is>
          <t>Goliatmusseron
Jättemusseron
Skrovlig taggsvamp
Blå taggsvamp
Dropptaggsvamp
Dvärgbägarlav
Kolflarnlav
Motaggsvamp
Mörk kolflarnlav
Orange taggsvamp
Skarp dropptaggsvamp
Tallfingersvamp
Talltaggsvamp
Tallticka
Tretåig hackspett
Vaddporing
Vedflamlav
Vedskivlav
Plattlummer
Gröngöling
Revlummer</t>
        </is>
      </c>
      <c r="V30">
        <f>HYPERLINK("https://klasma.github.io/Logging_FORSKNINGSRESAN_2025_BJURHOLM/artfynd/Kläpptjärnen artfynd.xlsx", "Kläpptjärnen")</f>
        <v/>
      </c>
      <c r="W30">
        <f>HYPERLINK("https://klasma.github.io/Logging_FORSKNINGSRESAN_2025_BJURHOLM/kartor/Kläpptjärnen karta.png", "Kläpptjärnen")</f>
        <v/>
      </c>
      <c r="Y30">
        <f>HYPERLINK("https://klasma.github.io/Logging_FORSKNINGSRESAN_2025_BJURHOLM/klagomål/Kläpptjärnen FSC-klagomål.docx", "Kläpptjärnen")</f>
        <v/>
      </c>
      <c r="Z30">
        <f>HYPERLINK("https://klasma.github.io/Logging_FORSKNINGSRESAN_2025_BJURHOLM/klagomålsmail/Kläpptjärnen FSC-klagomål mail.docx", "Kläpptjärnen")</f>
        <v/>
      </c>
      <c r="AA30">
        <f>HYPERLINK("https://klasma.github.io/Logging_FORSKNINGSRESAN_2025_BJURHOLM/tillsyn/Kläpptjärnen tillsynsbegäran.docx", "Kläpptjärnen")</f>
        <v/>
      </c>
      <c r="AB30">
        <f>HYPERLINK("https://klasma.github.io/Logging_FORSKNINGSRESAN_2025_BJURHOLM/tillsynsmail/Kläpptjärnen tillsynsbegäran mail.docx", "Kläpptjärnen")</f>
        <v/>
      </c>
      <c r="AC30">
        <f>HYPERLINK("https://klasma.github.io/Logging_FORSKNINGSRESAN_2025_BJURHOLM/fåglar/Kläpptjärnen prioriterade fågelarter.docx", "Kläpptjärnen")</f>
        <v/>
      </c>
    </row>
    <row r="31" ht="15" customHeight="1">
      <c r="A31" t="inlineStr">
        <is>
          <t>Johannesbomyran</t>
        </is>
      </c>
      <c r="B31" t="inlineStr">
        <is>
          <t>avverkningsanmälan</t>
        </is>
      </c>
      <c r="D31" s="1" t="n">
        <v>46221</v>
      </c>
      <c r="E31" s="1" t="n">
        <v>46221</v>
      </c>
      <c r="F31" t="inlineStr"/>
      <c r="G31" t="inlineStr">
        <is>
          <t>Bjurholm</t>
        </is>
      </c>
      <c r="H31" t="inlineStr">
        <is>
          <t>Holmen skog AB</t>
        </is>
      </c>
      <c r="I31" t="n">
        <v>66.09999999999999</v>
      </c>
      <c r="J31" t="n">
        <v>4</v>
      </c>
      <c r="K31" t="n">
        <v>7</v>
      </c>
      <c r="L31" t="n">
        <v>10</v>
      </c>
      <c r="M31" t="n">
        <v>2</v>
      </c>
      <c r="N31" t="n">
        <v>0</v>
      </c>
      <c r="O31" t="n">
        <v>0</v>
      </c>
      <c r="P31" t="n">
        <v>0</v>
      </c>
      <c r="Q31" t="n">
        <v>12</v>
      </c>
      <c r="R31" t="n">
        <v>2</v>
      </c>
      <c r="S31" t="n">
        <v>20</v>
      </c>
      <c r="T31" t="n">
        <v>132</v>
      </c>
      <c r="U31" s="2" t="inlineStr">
        <is>
          <t>Garnlav
Knärot
Doftskinn
Dropptaggsvamp
Kolflarnlav
Kortskaftad ärgspik
Lunglav
Mörk kolflarnlav
Tallticka
Tretåig hackspett
Vedskivlav
Violettgrå tagellav
Bårdlav
Dvärgtufs
Luddlav
Plattlummer
Skinnlav
Stor aspticka
Stuplav
Ljungpipare</t>
        </is>
      </c>
      <c r="V31">
        <f>HYPERLINK("https://klasma.github.io/Logging_FORSKNINGSRESAN_2025_BJURHOLM/artfynd/Johannesbomyran artfynd.xlsx", "Johannesbomyran")</f>
        <v/>
      </c>
      <c r="W31">
        <f>HYPERLINK("https://klasma.github.io/Logging_FORSKNINGSRESAN_2025_BJURHOLM/kartor/Johannesbomyran karta.png", "Johannesbomyran")</f>
        <v/>
      </c>
      <c r="X31">
        <f>HYPERLINK("https://klasma.github.io/Logging_FORSKNINGSRESAN_2025_BJURHOLM/knärot/Johannesbomyran karta knärot.png", "Johannesbomyran")</f>
        <v/>
      </c>
      <c r="Y31">
        <f>HYPERLINK("https://klasma.github.io/Logging_FORSKNINGSRESAN_2025_BJURHOLM/klagomål/Johannesbomyran FSC-klagomål.docx", "Johannesbomyran")</f>
        <v/>
      </c>
      <c r="Z31">
        <f>HYPERLINK("https://klasma.github.io/Logging_FORSKNINGSRESAN_2025_BJURHOLM/klagomålsmail/Johannesbomyran FSC-klagomål mail.docx", "Johannesbomyran")</f>
        <v/>
      </c>
      <c r="AA31">
        <f>HYPERLINK("https://klasma.github.io/Logging_FORSKNINGSRESAN_2025_BJURHOLM/tillsyn/Johannesbomyran tillsynsbegäran.docx", "Johannesbomyran")</f>
        <v/>
      </c>
      <c r="AB31">
        <f>HYPERLINK("https://klasma.github.io/Logging_FORSKNINGSRESAN_2025_BJURHOLM/tillsynsmail/Johannesbomyran tillsynsbegäran mail.docx", "Johannesbomyran")</f>
        <v/>
      </c>
      <c r="AC31">
        <f>HYPERLINK("https://klasma.github.io/Logging_FORSKNINGSRESAN_2025_BJURHOLM/fåglar/Johannesbomyran prioriterade fågelarter.docx", "Johannesbomyran")</f>
        <v/>
      </c>
    </row>
    <row r="32" ht="15" customHeight="1">
      <c r="A32" t="inlineStr">
        <is>
          <t>Stockbäcken</t>
        </is>
      </c>
      <c r="B32" t="inlineStr">
        <is>
          <t>avverkningsanmälan</t>
        </is>
      </c>
      <c r="D32" s="1" t="n">
        <v>46221</v>
      </c>
      <c r="E32" s="1" t="n">
        <v>46221</v>
      </c>
      <c r="F32" t="inlineStr"/>
      <c r="G32" t="inlineStr">
        <is>
          <t>Bjurholm</t>
        </is>
      </c>
      <c r="H32" t="inlineStr">
        <is>
          <t>SCA</t>
        </is>
      </c>
      <c r="I32" t="n">
        <v>63.2</v>
      </c>
      <c r="J32" t="n">
        <v>1</v>
      </c>
      <c r="K32" t="n">
        <v>3</v>
      </c>
      <c r="L32" t="n">
        <v>12</v>
      </c>
      <c r="M32" t="n">
        <v>4</v>
      </c>
      <c r="N32" t="n">
        <v>0</v>
      </c>
      <c r="O32" t="n">
        <v>0</v>
      </c>
      <c r="P32" t="n">
        <v>0</v>
      </c>
      <c r="Q32" t="n">
        <v>16</v>
      </c>
      <c r="R32" t="n">
        <v>4</v>
      </c>
      <c r="S32" t="n">
        <v>19</v>
      </c>
      <c r="T32" t="n">
        <v>72</v>
      </c>
      <c r="U32" s="2" t="inlineStr">
        <is>
          <t>Aspgelélav
Garnlav
Gränsticka
Lappticka
Blågrå svartspik
Doftskinn
Gammelgransskål
Lavskrika
Lunglav
Mörk kolflarnlav
Rynkskinn
Rödbrun blekspik
Ullticka
Vedflamlav
Vedskivlav
Violettgrå tagellav
Mörk husmossa
Stuplav
Vedticka</t>
        </is>
      </c>
      <c r="V32">
        <f>HYPERLINK("https://klasma.github.io/Logging_FORSKNINGSRESAN_2025_BJURHOLM/artfynd/Stockbäcken artfynd.xlsx", "Stockbäcken")</f>
        <v/>
      </c>
      <c r="W32">
        <f>HYPERLINK("https://klasma.github.io/Logging_FORSKNINGSRESAN_2025_BJURHOLM/kartor/Stockbäcken karta.png", "Stockbäcken")</f>
        <v/>
      </c>
      <c r="Y32">
        <f>HYPERLINK("https://klasma.github.io/Logging_FORSKNINGSRESAN_2025_BJURHOLM/klagomål/Stockbäcken FSC-klagomål.docx", "Stockbäcken")</f>
        <v/>
      </c>
      <c r="Z32">
        <f>HYPERLINK("https://klasma.github.io/Logging_FORSKNINGSRESAN_2025_BJURHOLM/klagomålsmail/Stockbäcken FSC-klagomål mail.docx", "Stockbäcken")</f>
        <v/>
      </c>
      <c r="AA32">
        <f>HYPERLINK("https://klasma.github.io/Logging_FORSKNINGSRESAN_2025_BJURHOLM/tillsyn/Stockbäcken tillsynsbegäran.docx", "Stockbäcken")</f>
        <v/>
      </c>
      <c r="AB32">
        <f>HYPERLINK("https://klasma.github.io/Logging_FORSKNINGSRESAN_2025_BJURHOLM/tillsynsmail/Stockbäcken tillsynsbegäran mail.docx", "Stockbäcken")</f>
        <v/>
      </c>
      <c r="AC32">
        <f>HYPERLINK("https://klasma.github.io/Logging_FORSKNINGSRESAN_2025_BJURHOLM/fåglar/Stockbäcken prioriterade fågelarter.docx", "Stockbäcken")</f>
        <v/>
      </c>
    </row>
    <row r="33" ht="15" customHeight="1">
      <c r="A33" t="inlineStr">
        <is>
          <t>Lögdaselet</t>
        </is>
      </c>
      <c r="B33" t="inlineStr">
        <is>
          <t>avverkningsanmälan</t>
        </is>
      </c>
      <c r="D33" s="1" t="n">
        <v>46221</v>
      </c>
      <c r="E33" s="1" t="n">
        <v>46221</v>
      </c>
      <c r="F33" t="inlineStr"/>
      <c r="G33" t="inlineStr">
        <is>
          <t>Bjurholm</t>
        </is>
      </c>
      <c r="H33" t="inlineStr">
        <is>
          <t>Sveaskog</t>
        </is>
      </c>
      <c r="I33" t="n">
        <v>166.5</v>
      </c>
      <c r="J33" t="n">
        <v>5</v>
      </c>
      <c r="K33" t="n">
        <v>4</v>
      </c>
      <c r="L33" t="n">
        <v>10</v>
      </c>
      <c r="M33" t="n">
        <v>2</v>
      </c>
      <c r="N33" t="n">
        <v>0</v>
      </c>
      <c r="O33" t="n">
        <v>0</v>
      </c>
      <c r="P33" t="n">
        <v>0</v>
      </c>
      <c r="Q33" t="n">
        <v>12</v>
      </c>
      <c r="R33" t="n">
        <v>2</v>
      </c>
      <c r="S33" t="n">
        <v>18</v>
      </c>
      <c r="T33" t="n">
        <v>48</v>
      </c>
      <c r="U33" s="2" t="inlineStr">
        <is>
          <t>Garnlav
Knärot
Blanksvart spiklav
Dvärgbägarlav
Gammelgransskål
Liten svartspik
Lunglav
Mörk kolflarnlav
Tretåig hackspett
Vedflamlav
Vedskivlav
Vitgrynig nållav
Luddlav
Norrlandslav
Spindelblomster
Stuplav
Spillkråka
Fläcknycklar</t>
        </is>
      </c>
      <c r="V33">
        <f>HYPERLINK("https://klasma.github.io/Logging_FORSKNINGSRESAN_2025_BJURHOLM/artfynd/Lögdaselet artfynd.xlsx", "Lögdaselet")</f>
        <v/>
      </c>
      <c r="W33">
        <f>HYPERLINK("https://klasma.github.io/Logging_FORSKNINGSRESAN_2025_BJURHOLM/kartor/Lögdaselet karta.png", "Lögdaselet")</f>
        <v/>
      </c>
      <c r="X33">
        <f>HYPERLINK("https://klasma.github.io/Logging_FORSKNINGSRESAN_2025_BJURHOLM/knärot/Lögdaselet karta knärot.png", "Lögdaselet")</f>
        <v/>
      </c>
      <c r="Y33">
        <f>HYPERLINK("https://klasma.github.io/Logging_FORSKNINGSRESAN_2025_BJURHOLM/klagomål/Lögdaselet FSC-klagomål.docx", "Lögdaselet")</f>
        <v/>
      </c>
      <c r="Z33">
        <f>HYPERLINK("https://klasma.github.io/Logging_FORSKNINGSRESAN_2025_BJURHOLM/klagomålsmail/Lögdaselet FSC-klagomål mail.docx", "Lögdaselet")</f>
        <v/>
      </c>
      <c r="AA33">
        <f>HYPERLINK("https://klasma.github.io/Logging_FORSKNINGSRESAN_2025_BJURHOLM/tillsyn/Lögdaselet tillsynsbegäran.docx", "Lögdaselet")</f>
        <v/>
      </c>
      <c r="AB33">
        <f>HYPERLINK("https://klasma.github.io/Logging_FORSKNINGSRESAN_2025_BJURHOLM/tillsynsmail/Lögdaselet tillsynsbegäran mail.docx", "Lögdaselet")</f>
        <v/>
      </c>
      <c r="AC33">
        <f>HYPERLINK("https://klasma.github.io/Logging_FORSKNINGSRESAN_2025_BJURHOLM/fåglar/Lögdaselet prioriterade fågelarter.docx", "Lögdaselet")</f>
        <v/>
      </c>
    </row>
    <row r="34" ht="15" customHeight="1">
      <c r="A34" t="inlineStr">
        <is>
          <t>Holmtjärnen</t>
        </is>
      </c>
      <c r="B34" t="inlineStr">
        <is>
          <t>avverkningsanmälan</t>
        </is>
      </c>
      <c r="D34" s="1" t="n">
        <v>46221</v>
      </c>
      <c r="E34" s="1" t="n">
        <v>46221</v>
      </c>
      <c r="F34" t="inlineStr"/>
      <c r="G34" t="inlineStr">
        <is>
          <t>Bjurholm</t>
        </is>
      </c>
      <c r="H34" t="inlineStr">
        <is>
          <t>SCA</t>
        </is>
      </c>
      <c r="I34" t="n">
        <v>105.2</v>
      </c>
      <c r="J34" t="n">
        <v>1</v>
      </c>
      <c r="K34" t="n">
        <v>1</v>
      </c>
      <c r="L34" t="n">
        <v>11</v>
      </c>
      <c r="M34" t="n">
        <v>6</v>
      </c>
      <c r="N34" t="n">
        <v>0</v>
      </c>
      <c r="O34" t="n">
        <v>0</v>
      </c>
      <c r="P34" t="n">
        <v>0</v>
      </c>
      <c r="Q34" t="n">
        <v>17</v>
      </c>
      <c r="R34" t="n">
        <v>6</v>
      </c>
      <c r="S34" t="n">
        <v>18</v>
      </c>
      <c r="T34" t="n">
        <v>39</v>
      </c>
      <c r="U34" s="2" t="inlineStr">
        <is>
          <t>Fläckporing
Garnlav
Goliatmusseron
Gräddporing
Gränsticka
Skrovlig taggsvamp
Blå taggsvamp
Dvärgbägarlav
Kolflarnlav
Lunglav
Nordtagging
Reliktbock
Skrovellav
Talltita
Vaddporing
Vedflamlav
Vedskivlav
Bårdlav</t>
        </is>
      </c>
      <c r="V34">
        <f>HYPERLINK("https://klasma.github.io/Logging_FORSKNINGSRESAN_2025_BJURHOLM/artfynd/Holmtjärnen artfynd.xlsx", "Holmtjärnen")</f>
        <v/>
      </c>
      <c r="W34">
        <f>HYPERLINK("https://klasma.github.io/Logging_FORSKNINGSRESAN_2025_BJURHOLM/kartor/Holmtjärnen karta.png", "Holmtjärnen")</f>
        <v/>
      </c>
      <c r="Y34">
        <f>HYPERLINK("https://klasma.github.io/Logging_FORSKNINGSRESAN_2025_BJURHOLM/klagomål/Holmtjärnen FSC-klagomål.docx", "Holmtjärnen")</f>
        <v/>
      </c>
      <c r="Z34">
        <f>HYPERLINK("https://klasma.github.io/Logging_FORSKNINGSRESAN_2025_BJURHOLM/klagomålsmail/Holmtjärnen FSC-klagomål mail.docx", "Holmtjärnen")</f>
        <v/>
      </c>
      <c r="AA34">
        <f>HYPERLINK("https://klasma.github.io/Logging_FORSKNINGSRESAN_2025_BJURHOLM/tillsyn/Holmtjärnen tillsynsbegäran.docx", "Holmtjärnen")</f>
        <v/>
      </c>
      <c r="AB34">
        <f>HYPERLINK("https://klasma.github.io/Logging_FORSKNINGSRESAN_2025_BJURHOLM/tillsynsmail/Holmtjärnen tillsynsbegäran mail.docx", "Holmtjärnen")</f>
        <v/>
      </c>
      <c r="AC34">
        <f>HYPERLINK("https://klasma.github.io/Logging_FORSKNINGSRESAN_2025_BJURHOLM/fåglar/Holmtjärnen prioriterade fågelarter.docx", "Holmtjärnen")</f>
        <v/>
      </c>
    </row>
    <row r="35" ht="15" customHeight="1">
      <c r="A35" t="inlineStr">
        <is>
          <t>Aspmyrbäcken</t>
        </is>
      </c>
      <c r="B35" t="inlineStr">
        <is>
          <t>avverkningsanmälan</t>
        </is>
      </c>
      <c r="D35" s="1" t="n">
        <v>46221</v>
      </c>
      <c r="E35" s="1" t="n">
        <v>46221</v>
      </c>
      <c r="F35" t="inlineStr"/>
      <c r="G35" t="inlineStr">
        <is>
          <t>Bjurholm</t>
        </is>
      </c>
      <c r="H35" t="inlineStr">
        <is>
          <t>Sveaskog</t>
        </is>
      </c>
      <c r="I35" t="n">
        <v>356.4</v>
      </c>
      <c r="J35" t="n">
        <v>2</v>
      </c>
      <c r="K35" t="n">
        <v>5</v>
      </c>
      <c r="L35" t="n">
        <v>9</v>
      </c>
      <c r="M35" t="n">
        <v>3</v>
      </c>
      <c r="N35" t="n">
        <v>0</v>
      </c>
      <c r="O35" t="n">
        <v>0</v>
      </c>
      <c r="P35" t="n">
        <v>0</v>
      </c>
      <c r="Q35" t="n">
        <v>12</v>
      </c>
      <c r="R35" t="n">
        <v>3</v>
      </c>
      <c r="S35" t="n">
        <v>18</v>
      </c>
      <c r="T35" t="n">
        <v>72</v>
      </c>
      <c r="U35" s="2" t="inlineStr">
        <is>
          <t>Garnlav
Lappticka
Ostticka
Doftskinn
Gammelgransskål
Lunglav
Rosenticka
Rynkskinn
Skrovellav
Tretåig hackspett
Ullticka
Violmussling
Bollvitmossa
Skinnlav
Stuplav
Trådticka
Vedticka
Fläcknycklar</t>
        </is>
      </c>
      <c r="V35">
        <f>HYPERLINK("https://klasma.github.io/Logging_FORSKNINGSRESAN_2025_BJURHOLM/artfynd/Aspmyrbäcken artfynd.xlsx", "Aspmyrbäcken")</f>
        <v/>
      </c>
      <c r="W35">
        <f>HYPERLINK("https://klasma.github.io/Logging_FORSKNINGSRESAN_2025_BJURHOLM/kartor/Aspmyrbäcken karta.png", "Aspmyrbäcken")</f>
        <v/>
      </c>
      <c r="Y35">
        <f>HYPERLINK("https://klasma.github.io/Logging_FORSKNINGSRESAN_2025_BJURHOLM/klagomål/Aspmyrbäcken FSC-klagomål.docx", "Aspmyrbäcken")</f>
        <v/>
      </c>
      <c r="Z35">
        <f>HYPERLINK("https://klasma.github.io/Logging_FORSKNINGSRESAN_2025_BJURHOLM/klagomålsmail/Aspmyrbäcken FSC-klagomål mail.docx", "Aspmyrbäcken")</f>
        <v/>
      </c>
      <c r="AA35">
        <f>HYPERLINK("https://klasma.github.io/Logging_FORSKNINGSRESAN_2025_BJURHOLM/tillsyn/Aspmyrbäcken tillsynsbegäran.docx", "Aspmyrbäcken")</f>
        <v/>
      </c>
      <c r="AB35">
        <f>HYPERLINK("https://klasma.github.io/Logging_FORSKNINGSRESAN_2025_BJURHOLM/tillsynsmail/Aspmyrbäcken tillsynsbegäran mail.docx", "Aspmyrbäcken")</f>
        <v/>
      </c>
      <c r="AC35">
        <f>HYPERLINK("https://klasma.github.io/Logging_FORSKNINGSRESAN_2025_BJURHOLM/fåglar/Aspmyrbäcken prioriterade fågelarter.docx", "Aspmyrbäcken")</f>
        <v/>
      </c>
    </row>
    <row r="36" ht="15" customHeight="1">
      <c r="A36" t="inlineStr">
        <is>
          <t>Gubbmyran</t>
        </is>
      </c>
      <c r="B36" t="inlineStr">
        <is>
          <t>avverkningsanmälan</t>
        </is>
      </c>
      <c r="D36" s="1" t="n">
        <v>46221</v>
      </c>
      <c r="E36" s="1" t="n">
        <v>46221</v>
      </c>
      <c r="F36" t="inlineStr"/>
      <c r="G36" t="inlineStr">
        <is>
          <t>Bjurholm</t>
        </is>
      </c>
      <c r="H36" t="inlineStr">
        <is>
          <t>Holmen skog AB</t>
        </is>
      </c>
      <c r="I36" t="n">
        <v>186</v>
      </c>
      <c r="J36" t="n">
        <v>1</v>
      </c>
      <c r="K36" t="n">
        <v>2</v>
      </c>
      <c r="L36" t="n">
        <v>9</v>
      </c>
      <c r="M36" t="n">
        <v>5</v>
      </c>
      <c r="N36" t="n">
        <v>0</v>
      </c>
      <c r="O36" t="n">
        <v>0</v>
      </c>
      <c r="P36" t="n">
        <v>0</v>
      </c>
      <c r="Q36" t="n">
        <v>14</v>
      </c>
      <c r="R36" t="n">
        <v>5</v>
      </c>
      <c r="S36" t="n">
        <v>16</v>
      </c>
      <c r="T36" t="n">
        <v>34</v>
      </c>
      <c r="U36" s="2" t="inlineStr">
        <is>
          <t>Garnlav
Gränsticka
Lappticka
Liten sotlav
Vitskaftad svartspik
Doftskinn
Gammelgransskål
Harticka
Rosenticka
Rynkskinn
Rödbrun blekspik
Tretåig hackspett
Ullticka
Violettgrå tagellav
Blodticka
Trådticka</t>
        </is>
      </c>
      <c r="V36">
        <f>HYPERLINK("https://klasma.github.io/Logging_FORSKNINGSRESAN_2025_BJURHOLM/artfynd/Gubbmyran artfynd.xlsx", "Gubbmyran")</f>
        <v/>
      </c>
      <c r="W36">
        <f>HYPERLINK("https://klasma.github.io/Logging_FORSKNINGSRESAN_2025_BJURHOLM/kartor/Gubbmyran karta.png", "Gubbmyran")</f>
        <v/>
      </c>
      <c r="Y36">
        <f>HYPERLINK("https://klasma.github.io/Logging_FORSKNINGSRESAN_2025_BJURHOLM/klagomål/Gubbmyran FSC-klagomål.docx", "Gubbmyran")</f>
        <v/>
      </c>
      <c r="Z36">
        <f>HYPERLINK("https://klasma.github.io/Logging_FORSKNINGSRESAN_2025_BJURHOLM/klagomålsmail/Gubbmyran FSC-klagomål mail.docx", "Gubbmyran")</f>
        <v/>
      </c>
      <c r="AA36">
        <f>HYPERLINK("https://klasma.github.io/Logging_FORSKNINGSRESAN_2025_BJURHOLM/tillsyn/Gubbmyran tillsynsbegäran.docx", "Gubbmyran")</f>
        <v/>
      </c>
      <c r="AB36">
        <f>HYPERLINK("https://klasma.github.io/Logging_FORSKNINGSRESAN_2025_BJURHOLM/tillsynsmail/Gubbmyran tillsynsbegäran mail.docx", "Gubbmyran")</f>
        <v/>
      </c>
      <c r="AC36">
        <f>HYPERLINK("https://klasma.github.io/Logging_FORSKNINGSRESAN_2025_BJURHOLM/fåglar/Gubbmyran prioriterade fågelarter.docx", "Gubbmyran")</f>
        <v/>
      </c>
    </row>
    <row r="37" ht="15" customHeight="1">
      <c r="A37" t="inlineStr">
        <is>
          <t>Kälkåsen</t>
        </is>
      </c>
      <c r="B37" t="inlineStr">
        <is>
          <t>avverkningsanmälan</t>
        </is>
      </c>
      <c r="D37" s="1" t="n">
        <v>46221</v>
      </c>
      <c r="E37" s="1" t="n">
        <v>46221</v>
      </c>
      <c r="F37" t="inlineStr"/>
      <c r="G37" t="inlineStr">
        <is>
          <t>Bjurholm</t>
        </is>
      </c>
      <c r="H37" t="inlineStr">
        <is>
          <t>SCA</t>
        </is>
      </c>
      <c r="I37" t="n">
        <v>58.4</v>
      </c>
      <c r="J37" t="n">
        <v>2</v>
      </c>
      <c r="K37" t="n">
        <v>3</v>
      </c>
      <c r="L37" t="n">
        <v>7</v>
      </c>
      <c r="M37" t="n">
        <v>4</v>
      </c>
      <c r="N37" t="n">
        <v>0</v>
      </c>
      <c r="O37" t="n">
        <v>0</v>
      </c>
      <c r="P37" t="n">
        <v>0</v>
      </c>
      <c r="Q37" t="n">
        <v>11</v>
      </c>
      <c r="R37" t="n">
        <v>4</v>
      </c>
      <c r="S37" t="n">
        <v>14</v>
      </c>
      <c r="T37" t="n">
        <v>32</v>
      </c>
      <c r="U37" s="2" t="inlineStr">
        <is>
          <t>Fläckporing
Garnlav
Gräddporing
Knärot
Dropptaggsvamp
Dvärgbägarlav
Gammelgransskål
Lunglav
Skarp dropptaggsvamp
Tretåig hackspett
Vedskivlav
Luddlav
Stuplav
Vedticka</t>
        </is>
      </c>
      <c r="V37">
        <f>HYPERLINK("https://klasma.github.io/Logging_FORSKNINGSRESAN_2025_BJURHOLM/artfynd/Kälkåsen artfynd.xlsx", "Kälkåsen")</f>
        <v/>
      </c>
      <c r="W37">
        <f>HYPERLINK("https://klasma.github.io/Logging_FORSKNINGSRESAN_2025_BJURHOLM/kartor/Kälkåsen karta.png", "Kälkåsen")</f>
        <v/>
      </c>
      <c r="X37">
        <f>HYPERLINK("https://klasma.github.io/Logging_FORSKNINGSRESAN_2025_BJURHOLM/knärot/Kälkåsen karta knärot.png", "Kälkåsen")</f>
        <v/>
      </c>
      <c r="Y37">
        <f>HYPERLINK("https://klasma.github.io/Logging_FORSKNINGSRESAN_2025_BJURHOLM/klagomål/Kälkåsen FSC-klagomål.docx", "Kälkåsen")</f>
        <v/>
      </c>
      <c r="Z37">
        <f>HYPERLINK("https://klasma.github.io/Logging_FORSKNINGSRESAN_2025_BJURHOLM/klagomålsmail/Kälkåsen FSC-klagomål mail.docx", "Kälkåsen")</f>
        <v/>
      </c>
      <c r="AA37">
        <f>HYPERLINK("https://klasma.github.io/Logging_FORSKNINGSRESAN_2025_BJURHOLM/tillsyn/Kälkåsen tillsynsbegäran.docx", "Kälkåsen")</f>
        <v/>
      </c>
      <c r="AB37">
        <f>HYPERLINK("https://klasma.github.io/Logging_FORSKNINGSRESAN_2025_BJURHOLM/tillsynsmail/Kälkåsen tillsynsbegäran mail.docx", "Kälkåsen")</f>
        <v/>
      </c>
      <c r="AC37">
        <f>HYPERLINK("https://klasma.github.io/Logging_FORSKNINGSRESAN_2025_BJURHOLM/fåglar/Kälkåsen prioriterade fågelarter.docx", "Kälkåsen")</f>
        <v/>
      </c>
    </row>
    <row r="38" ht="15" customHeight="1">
      <c r="A38" t="inlineStr">
        <is>
          <t>Björnberget N</t>
        </is>
      </c>
      <c r="B38" t="inlineStr">
        <is>
          <t>avverkningsanmälan</t>
        </is>
      </c>
      <c r="D38" s="1" t="n">
        <v>46221</v>
      </c>
      <c r="E38" s="1" t="n">
        <v>46221</v>
      </c>
      <c r="F38" t="inlineStr"/>
      <c r="G38" t="inlineStr">
        <is>
          <t>Bjurholm</t>
        </is>
      </c>
      <c r="H38" t="inlineStr">
        <is>
          <t>SCA</t>
        </is>
      </c>
      <c r="I38" t="n">
        <v>29.2</v>
      </c>
      <c r="J38" t="n">
        <v>0</v>
      </c>
      <c r="K38" t="n">
        <v>3</v>
      </c>
      <c r="L38" t="n">
        <v>8</v>
      </c>
      <c r="M38" t="n">
        <v>3</v>
      </c>
      <c r="N38" t="n">
        <v>0</v>
      </c>
      <c r="O38" t="n">
        <v>0</v>
      </c>
      <c r="P38" t="n">
        <v>0</v>
      </c>
      <c r="Q38" t="n">
        <v>11</v>
      </c>
      <c r="R38" t="n">
        <v>3</v>
      </c>
      <c r="S38" t="n">
        <v>14</v>
      </c>
      <c r="T38" t="n">
        <v>22</v>
      </c>
      <c r="U38" s="2" t="inlineStr">
        <is>
          <t>Garnlav
Gräddporing
Skrovlig taggsvamp
Blå taggsvamp
Dropptaggsvamp
Dvärgbägarlav
Lunglav
Reliktbock
Vedskivlav
Vedtrappmossa
Violettgrå tagellav
Mörk husmossa
Norrlandslav
Vedticka</t>
        </is>
      </c>
      <c r="V38">
        <f>HYPERLINK("https://klasma.github.io/Logging_FORSKNINGSRESAN_2025_BJURHOLM/artfynd/Björnberget N artfynd.xlsx", "Björnberget N")</f>
        <v/>
      </c>
      <c r="W38">
        <f>HYPERLINK("https://klasma.github.io/Logging_FORSKNINGSRESAN_2025_BJURHOLM/kartor/Björnberget N karta.png", "Björnberget N")</f>
        <v/>
      </c>
      <c r="Y38">
        <f>HYPERLINK("https://klasma.github.io/Logging_FORSKNINGSRESAN_2025_BJURHOLM/klagomål/Björnberget N FSC-klagomål.docx", "Björnberget N")</f>
        <v/>
      </c>
      <c r="Z38">
        <f>HYPERLINK("https://klasma.github.io/Logging_FORSKNINGSRESAN_2025_BJURHOLM/klagomålsmail/Björnberget N FSC-klagomål mail.docx", "Björnberget N")</f>
        <v/>
      </c>
      <c r="AA38">
        <f>HYPERLINK("https://klasma.github.io/Logging_FORSKNINGSRESAN_2025_BJURHOLM/tillsyn/Björnberget N tillsynsbegäran.docx", "Björnberget N")</f>
        <v/>
      </c>
      <c r="AB38">
        <f>HYPERLINK("https://klasma.github.io/Logging_FORSKNINGSRESAN_2025_BJURHOLM/tillsynsmail/Björnberget N tillsynsbegäran mail.docx", "Björnberget N")</f>
        <v/>
      </c>
    </row>
    <row r="39" ht="15" customHeight="1">
      <c r="A39" t="inlineStr">
        <is>
          <t>Trollberget</t>
        </is>
      </c>
      <c r="B39" t="inlineStr">
        <is>
          <t>avverkningsanmälan</t>
        </is>
      </c>
      <c r="D39" s="1" t="n">
        <v>46221</v>
      </c>
      <c r="E39" s="1" t="n">
        <v>46221</v>
      </c>
      <c r="F39" t="inlineStr"/>
      <c r="G39" t="inlineStr">
        <is>
          <t>Bjurholm</t>
        </is>
      </c>
      <c r="H39" t="inlineStr">
        <is>
          <t>Holmen skog AB</t>
        </is>
      </c>
      <c r="I39" t="n">
        <v>110.6</v>
      </c>
      <c r="J39" t="n">
        <v>0</v>
      </c>
      <c r="K39" t="n">
        <v>6</v>
      </c>
      <c r="L39" t="n">
        <v>7</v>
      </c>
      <c r="M39" t="n">
        <v>1</v>
      </c>
      <c r="N39" t="n">
        <v>0</v>
      </c>
      <c r="O39" t="n">
        <v>0</v>
      </c>
      <c r="P39" t="n">
        <v>0</v>
      </c>
      <c r="Q39" t="n">
        <v>8</v>
      </c>
      <c r="R39" t="n">
        <v>1</v>
      </c>
      <c r="S39" t="n">
        <v>14</v>
      </c>
      <c r="T39" t="n">
        <v>26</v>
      </c>
      <c r="U39" s="2" t="inlineStr">
        <is>
          <t>Gränsticka
Doftskinn
Lunglav
Rosenticka
Stjärntagging
Tallticka
Ullticka
Violettgrå tagellav
Aspvedgnagare
Bårdlav
Rävticka
Skinnlav
Stor aspticka
Stuplav</t>
        </is>
      </c>
      <c r="V39">
        <f>HYPERLINK("https://klasma.github.io/Logging_FORSKNINGSRESAN_2025_BJURHOLM/artfynd/Trollberget artfynd.xlsx", "Trollberget")</f>
        <v/>
      </c>
      <c r="W39">
        <f>HYPERLINK("https://klasma.github.io/Logging_FORSKNINGSRESAN_2025_BJURHOLM/kartor/Trollberget karta.png", "Trollberget")</f>
        <v/>
      </c>
      <c r="Y39">
        <f>HYPERLINK("https://klasma.github.io/Logging_FORSKNINGSRESAN_2025_BJURHOLM/klagomål/Trollberget FSC-klagomål.docx", "Trollberget")</f>
        <v/>
      </c>
      <c r="Z39">
        <f>HYPERLINK("https://klasma.github.io/Logging_FORSKNINGSRESAN_2025_BJURHOLM/klagomålsmail/Trollberget FSC-klagomål mail.docx", "Trollberget")</f>
        <v/>
      </c>
      <c r="AA39">
        <f>HYPERLINK("https://klasma.github.io/Logging_FORSKNINGSRESAN_2025_BJURHOLM/tillsyn/Trollberget tillsynsbegäran.docx", "Trollberget")</f>
        <v/>
      </c>
      <c r="AB39">
        <f>HYPERLINK("https://klasma.github.io/Logging_FORSKNINGSRESAN_2025_BJURHOLM/tillsynsmail/Trollberget tillsynsbegäran mail.docx", "Trollberget")</f>
        <v/>
      </c>
    </row>
    <row r="40" ht="15" customHeight="1">
      <c r="A40" t="inlineStr">
        <is>
          <t>Stensjöåsen</t>
        </is>
      </c>
      <c r="B40" t="inlineStr">
        <is>
          <t>avverkningsanmälan</t>
        </is>
      </c>
      <c r="D40" s="1" t="n">
        <v>46221</v>
      </c>
      <c r="E40" s="1" t="n">
        <v>46221</v>
      </c>
      <c r="F40" t="inlineStr"/>
      <c r="G40" t="inlineStr">
        <is>
          <t>Bjurholm</t>
        </is>
      </c>
      <c r="H40" t="inlineStr">
        <is>
          <t>SCA</t>
        </is>
      </c>
      <c r="I40" t="n">
        <v>117.8</v>
      </c>
      <c r="J40" t="n">
        <v>0</v>
      </c>
      <c r="K40" t="n">
        <v>1</v>
      </c>
      <c r="L40" t="n">
        <v>9</v>
      </c>
      <c r="M40" t="n">
        <v>2</v>
      </c>
      <c r="N40" t="n">
        <v>0</v>
      </c>
      <c r="O40" t="n">
        <v>0</v>
      </c>
      <c r="P40" t="n">
        <v>0</v>
      </c>
      <c r="Q40" t="n">
        <v>11</v>
      </c>
      <c r="R40" t="n">
        <v>2</v>
      </c>
      <c r="S40" t="n">
        <v>12</v>
      </c>
      <c r="T40" t="n">
        <v>16</v>
      </c>
      <c r="U40" s="2" t="inlineStr">
        <is>
          <t>Gräddporing
Tajgataggsvamp
Blå taggsvamp
Dropptaggsvamp
Dvärgbägarlav
Kolflarnlav
Nordtagging
Reliktbock
Skarp dropptaggsvamp
Vaddporing
Vedflamlav
Vedticka</t>
        </is>
      </c>
      <c r="V40">
        <f>HYPERLINK("https://klasma.github.io/Logging_FORSKNINGSRESAN_2025_BJURHOLM/artfynd/Stensjöåsen artfynd.xlsx", "Stensjöåsen")</f>
        <v/>
      </c>
      <c r="W40">
        <f>HYPERLINK("https://klasma.github.io/Logging_FORSKNINGSRESAN_2025_BJURHOLM/kartor/Stensjöåsen karta.png", "Stensjöåsen")</f>
        <v/>
      </c>
      <c r="Y40">
        <f>HYPERLINK("https://klasma.github.io/Logging_FORSKNINGSRESAN_2025_BJURHOLM/klagomål/Stensjöåsen FSC-klagomål.docx", "Stensjöåsen")</f>
        <v/>
      </c>
      <c r="Z40">
        <f>HYPERLINK("https://klasma.github.io/Logging_FORSKNINGSRESAN_2025_BJURHOLM/klagomålsmail/Stensjöåsen FSC-klagomål mail.docx", "Stensjöåsen")</f>
        <v/>
      </c>
      <c r="AA40">
        <f>HYPERLINK("https://klasma.github.io/Logging_FORSKNINGSRESAN_2025_BJURHOLM/tillsyn/Stensjöåsen tillsynsbegäran.docx", "Stensjöåsen")</f>
        <v/>
      </c>
      <c r="AB40">
        <f>HYPERLINK("https://klasma.github.io/Logging_FORSKNINGSRESAN_2025_BJURHOLM/tillsynsmail/Stensjöåsen tillsynsbegäran mail.docx", "Stensjöåsen")</f>
        <v/>
      </c>
    </row>
    <row r="41" ht="15" customHeight="1">
      <c r="A41" t="inlineStr">
        <is>
          <t>Stor-Svartliden</t>
        </is>
      </c>
      <c r="B41" t="inlineStr">
        <is>
          <t>avverkningsanmälan</t>
        </is>
      </c>
      <c r="D41" s="1" t="n">
        <v>46221</v>
      </c>
      <c r="E41" s="1" t="n">
        <v>46221</v>
      </c>
      <c r="F41" t="inlineStr"/>
      <c r="G41" t="inlineStr">
        <is>
          <t>Bjurholm</t>
        </is>
      </c>
      <c r="H41" t="inlineStr">
        <is>
          <t>Holmen skog AB</t>
        </is>
      </c>
      <c r="I41" t="n">
        <v>187.8</v>
      </c>
      <c r="J41" t="n">
        <v>2</v>
      </c>
      <c r="K41" t="n">
        <v>4</v>
      </c>
      <c r="L41" t="n">
        <v>4</v>
      </c>
      <c r="M41" t="n">
        <v>3</v>
      </c>
      <c r="N41" t="n">
        <v>0</v>
      </c>
      <c r="O41" t="n">
        <v>0</v>
      </c>
      <c r="P41" t="n">
        <v>0</v>
      </c>
      <c r="Q41" t="n">
        <v>7</v>
      </c>
      <c r="R41" t="n">
        <v>3</v>
      </c>
      <c r="S41" t="n">
        <v>12</v>
      </c>
      <c r="T41" t="n">
        <v>33</v>
      </c>
      <c r="U41" s="2" t="inlineStr">
        <is>
          <t>Doftticka
Garnlav
Gränsticka
Doftskinn
Lunglav
Skrovellav
Violettgrå tagellav
Bårdlav
Luddlav
Skinnlav
Stuplav
Fläcknycklar</t>
        </is>
      </c>
      <c r="V41">
        <f>HYPERLINK("https://klasma.github.io/Logging_FORSKNINGSRESAN_2025_BJURHOLM/artfynd/Stor-Svartliden artfynd.xlsx", "Stor-Svartliden")</f>
        <v/>
      </c>
      <c r="W41">
        <f>HYPERLINK("https://klasma.github.io/Logging_FORSKNINGSRESAN_2025_BJURHOLM/kartor/Stor-Svartliden karta.png", "Stor-Svartliden")</f>
        <v/>
      </c>
      <c r="Y41">
        <f>HYPERLINK("https://klasma.github.io/Logging_FORSKNINGSRESAN_2025_BJURHOLM/klagomål/Stor-Svartliden FSC-klagomål.docx", "Stor-Svartliden")</f>
        <v/>
      </c>
      <c r="Z41">
        <f>HYPERLINK("https://klasma.github.io/Logging_FORSKNINGSRESAN_2025_BJURHOLM/klagomålsmail/Stor-Svartliden FSC-klagomål mail.docx", "Stor-Svartliden")</f>
        <v/>
      </c>
      <c r="AA41">
        <f>HYPERLINK("https://klasma.github.io/Logging_FORSKNINGSRESAN_2025_BJURHOLM/tillsyn/Stor-Svartliden tillsynsbegäran.docx", "Stor-Svartliden")</f>
        <v/>
      </c>
      <c r="AB41">
        <f>HYPERLINK("https://klasma.github.io/Logging_FORSKNINGSRESAN_2025_BJURHOLM/tillsynsmail/Stor-Svartliden tillsynsbegäran mail.docx", "Stor-Svartliden")</f>
        <v/>
      </c>
    </row>
    <row r="42" ht="15" customHeight="1">
      <c r="A42" t="inlineStr">
        <is>
          <t>Blåbergssjön</t>
        </is>
      </c>
      <c r="B42" t="inlineStr">
        <is>
          <t>avverkningsanmälan</t>
        </is>
      </c>
      <c r="D42" s="1" t="n">
        <v>46221</v>
      </c>
      <c r="E42" s="1" t="n">
        <v>46221</v>
      </c>
      <c r="F42" t="inlineStr"/>
      <c r="G42" t="inlineStr">
        <is>
          <t>Bjurholm</t>
        </is>
      </c>
      <c r="H42" t="inlineStr">
        <is>
          <t>SCA</t>
        </is>
      </c>
      <c r="I42" t="n">
        <v>27.1</v>
      </c>
      <c r="J42" t="n">
        <v>0</v>
      </c>
      <c r="K42" t="n">
        <v>1</v>
      </c>
      <c r="L42" t="n">
        <v>10</v>
      </c>
      <c r="M42" t="n">
        <v>1</v>
      </c>
      <c r="N42" t="n">
        <v>0</v>
      </c>
      <c r="O42" t="n">
        <v>0</v>
      </c>
      <c r="P42" t="n">
        <v>0</v>
      </c>
      <c r="Q42" t="n">
        <v>11</v>
      </c>
      <c r="R42" t="n">
        <v>1</v>
      </c>
      <c r="S42" t="n">
        <v>12</v>
      </c>
      <c r="T42" t="n">
        <v>21</v>
      </c>
      <c r="U42" s="2" t="inlineStr">
        <is>
          <t>Garnlav
Blanksvart spiklav
Blågrå svartspik
Dropptaggsvamp
Dvärgbägarlav
Mörk kolflarnlav
Reliktbock
Skuggblåslav
Vedflamlav
Vedskivlav
Violettgrå tagellav
Vedticka</t>
        </is>
      </c>
      <c r="V42">
        <f>HYPERLINK("https://klasma.github.io/Logging_FORSKNINGSRESAN_2025_BJURHOLM/artfynd/Blåbergssjön artfynd.xlsx", "Blåbergssjön")</f>
        <v/>
      </c>
      <c r="W42">
        <f>HYPERLINK("https://klasma.github.io/Logging_FORSKNINGSRESAN_2025_BJURHOLM/kartor/Blåbergssjön karta.png", "Blåbergssjön")</f>
        <v/>
      </c>
      <c r="Y42">
        <f>HYPERLINK("https://klasma.github.io/Logging_FORSKNINGSRESAN_2025_BJURHOLM/klagomål/Blåbergssjön FSC-klagomål.docx", "Blåbergssjön")</f>
        <v/>
      </c>
      <c r="Z42">
        <f>HYPERLINK("https://klasma.github.io/Logging_FORSKNINGSRESAN_2025_BJURHOLM/klagomålsmail/Blåbergssjön FSC-klagomål mail.docx", "Blåbergssjön")</f>
        <v/>
      </c>
      <c r="AA42">
        <f>HYPERLINK("https://klasma.github.io/Logging_FORSKNINGSRESAN_2025_BJURHOLM/tillsyn/Blåbergssjön tillsynsbegäran.docx", "Blåbergssjön")</f>
        <v/>
      </c>
      <c r="AB42">
        <f>HYPERLINK("https://klasma.github.io/Logging_FORSKNINGSRESAN_2025_BJURHOLM/tillsynsmail/Blåbergssjön tillsynsbegäran mail.docx", "Blåbergssjön")</f>
        <v/>
      </c>
    </row>
    <row r="43" ht="15" customHeight="1">
      <c r="A43" t="inlineStr">
        <is>
          <t>Gåstjärnen</t>
        </is>
      </c>
      <c r="B43" t="inlineStr">
        <is>
          <t>avverkningsanmälan</t>
        </is>
      </c>
      <c r="D43" s="1" t="n">
        <v>46221</v>
      </c>
      <c r="E43" s="1" t="n">
        <v>46221</v>
      </c>
      <c r="F43" t="inlineStr"/>
      <c r="G43" t="inlineStr">
        <is>
          <t>Bjurholm</t>
        </is>
      </c>
      <c r="H43" t="inlineStr">
        <is>
          <t>SCA</t>
        </is>
      </c>
      <c r="I43" t="n">
        <v>62.7</v>
      </c>
      <c r="J43" t="n">
        <v>1</v>
      </c>
      <c r="K43" t="n">
        <v>0</v>
      </c>
      <c r="L43" t="n">
        <v>7</v>
      </c>
      <c r="M43" t="n">
        <v>5</v>
      </c>
      <c r="N43" t="n">
        <v>0</v>
      </c>
      <c r="O43" t="n">
        <v>0</v>
      </c>
      <c r="P43" t="n">
        <v>0</v>
      </c>
      <c r="Q43" t="n">
        <v>12</v>
      </c>
      <c r="R43" t="n">
        <v>5</v>
      </c>
      <c r="S43" t="n">
        <v>12</v>
      </c>
      <c r="T43" t="n">
        <v>18</v>
      </c>
      <c r="U43" s="2" t="inlineStr">
        <is>
          <t>Garnlav
Goliatmusseron
Knärot
Skrovlig taggsvamp
Smalfotad taggsvamp
Blå taggsvamp
Dvärgbägarlav
Gammelgransskål
Motaggsvamp
Ullticka
Vedtrappmossa
Vitgrynig nållav</t>
        </is>
      </c>
      <c r="V43">
        <f>HYPERLINK("https://klasma.github.io/Logging_FORSKNINGSRESAN_2025_BJURHOLM/artfynd/Gåstjärnen artfynd.xlsx", "Gåstjärnen")</f>
        <v/>
      </c>
      <c r="W43">
        <f>HYPERLINK("https://klasma.github.io/Logging_FORSKNINGSRESAN_2025_BJURHOLM/kartor/Gåstjärnen karta.png", "Gåstjärnen")</f>
        <v/>
      </c>
      <c r="X43">
        <f>HYPERLINK("https://klasma.github.io/Logging_FORSKNINGSRESAN_2025_BJURHOLM/knärot/Gåstjärnen karta knärot.png", "Gåstjärnen")</f>
        <v/>
      </c>
      <c r="Y43">
        <f>HYPERLINK("https://klasma.github.io/Logging_FORSKNINGSRESAN_2025_BJURHOLM/klagomål/Gåstjärnen FSC-klagomål.docx", "Gåstjärnen")</f>
        <v/>
      </c>
      <c r="Z43">
        <f>HYPERLINK("https://klasma.github.io/Logging_FORSKNINGSRESAN_2025_BJURHOLM/klagomålsmail/Gåstjärnen FSC-klagomål mail.docx", "Gåstjärnen")</f>
        <v/>
      </c>
      <c r="AA43">
        <f>HYPERLINK("https://klasma.github.io/Logging_FORSKNINGSRESAN_2025_BJURHOLM/tillsyn/Gåstjärnen tillsynsbegäran.docx", "Gåstjärnen")</f>
        <v/>
      </c>
      <c r="AB43">
        <f>HYPERLINK("https://klasma.github.io/Logging_FORSKNINGSRESAN_2025_BJURHOLM/tillsynsmail/Gåstjärnen tillsynsbegäran mail.docx", "Gåstjärnen")</f>
        <v/>
      </c>
    </row>
    <row r="44" ht="15" customHeight="1">
      <c r="A44" t="inlineStr">
        <is>
          <t>Stornäsholmen</t>
        </is>
      </c>
      <c r="B44" t="inlineStr">
        <is>
          <t>avverkningsanmälan</t>
        </is>
      </c>
      <c r="D44" s="1" t="n">
        <v>46221</v>
      </c>
      <c r="E44" s="1" t="n">
        <v>46221</v>
      </c>
      <c r="F44" t="inlineStr"/>
      <c r="G44" t="inlineStr">
        <is>
          <t>Bjurholm</t>
        </is>
      </c>
      <c r="H44" t="inlineStr">
        <is>
          <t>Holmen skog AB</t>
        </is>
      </c>
      <c r="I44" t="n">
        <v>25.5</v>
      </c>
      <c r="J44" t="n">
        <v>1</v>
      </c>
      <c r="K44" t="n">
        <v>7</v>
      </c>
      <c r="L44" t="n">
        <v>3</v>
      </c>
      <c r="M44" t="n">
        <v>0</v>
      </c>
      <c r="N44" t="n">
        <v>0</v>
      </c>
      <c r="O44" t="n">
        <v>0</v>
      </c>
      <c r="P44" t="n">
        <v>0</v>
      </c>
      <c r="Q44" t="n">
        <v>3</v>
      </c>
      <c r="R44" t="n">
        <v>0</v>
      </c>
      <c r="S44" t="n">
        <v>11</v>
      </c>
      <c r="T44" t="n">
        <v>18</v>
      </c>
      <c r="U44" s="2" t="inlineStr">
        <is>
          <t>Rosenticka
Rynkskinn
Ullticka
Källpraktmossa
Luddlav
Thomsons trägnagare
Tibast
Vedticka
Vågbandad barkbock
Ögonpyrola
Vanlig padda</t>
        </is>
      </c>
      <c r="V44">
        <f>HYPERLINK("https://klasma.github.io/Logging_FORSKNINGSRESAN_2025_BJURHOLM/artfynd/Stornäsholmen artfynd.xlsx", "Stornäsholmen")</f>
        <v/>
      </c>
      <c r="W44">
        <f>HYPERLINK("https://klasma.github.io/Logging_FORSKNINGSRESAN_2025_BJURHOLM/kartor/Stornäsholmen karta.png", "Stornäsholmen")</f>
        <v/>
      </c>
      <c r="Y44">
        <f>HYPERLINK("https://klasma.github.io/Logging_FORSKNINGSRESAN_2025_BJURHOLM/klagomål/Stornäsholmen FSC-klagomål.docx", "Stornäsholmen")</f>
        <v/>
      </c>
      <c r="Z44">
        <f>HYPERLINK("https://klasma.github.io/Logging_FORSKNINGSRESAN_2025_BJURHOLM/klagomålsmail/Stornäsholmen FSC-klagomål mail.docx", "Stornäsholmen")</f>
        <v/>
      </c>
      <c r="AA44">
        <f>HYPERLINK("https://klasma.github.io/Logging_FORSKNINGSRESAN_2025_BJURHOLM/tillsyn/Stornäsholmen tillsynsbegäran.docx", "Stornäsholmen")</f>
        <v/>
      </c>
      <c r="AB44">
        <f>HYPERLINK("https://klasma.github.io/Logging_FORSKNINGSRESAN_2025_BJURHOLM/tillsynsmail/Stornäsholmen tillsynsbegäran mail.docx", "Stornäsholmen")</f>
        <v/>
      </c>
    </row>
    <row r="45" ht="15" customHeight="1">
      <c r="A45" t="inlineStr">
        <is>
          <t>Käringberget SO</t>
        </is>
      </c>
      <c r="B45" t="inlineStr">
        <is>
          <t>avverkningsanmälan</t>
        </is>
      </c>
      <c r="D45" s="1" t="n">
        <v>46221</v>
      </c>
      <c r="E45" s="1" t="n">
        <v>46221</v>
      </c>
      <c r="F45" t="inlineStr"/>
      <c r="G45" t="inlineStr">
        <is>
          <t>Bjurholm</t>
        </is>
      </c>
      <c r="H45" t="inlineStr">
        <is>
          <t>Sveaskog</t>
        </is>
      </c>
      <c r="I45" t="n">
        <v>143.1</v>
      </c>
      <c r="J45" t="n">
        <v>0</v>
      </c>
      <c r="K45" t="n">
        <v>3</v>
      </c>
      <c r="L45" t="n">
        <v>3</v>
      </c>
      <c r="M45" t="n">
        <v>0</v>
      </c>
      <c r="N45" t="n">
        <v>0</v>
      </c>
      <c r="O45" t="n">
        <v>0</v>
      </c>
      <c r="P45" t="n">
        <v>0</v>
      </c>
      <c r="Q45" t="n">
        <v>3</v>
      </c>
      <c r="R45" t="n">
        <v>0</v>
      </c>
      <c r="S45" t="n">
        <v>6</v>
      </c>
      <c r="T45" t="n">
        <v>7</v>
      </c>
      <c r="U45" s="2" t="inlineStr">
        <is>
          <t>Lunglav
Ullticka
Xorides depressus
Bårdlav
Luddlav
Stuplav</t>
        </is>
      </c>
      <c r="V45">
        <f>HYPERLINK("https://klasma.github.io/Logging_FORSKNINGSRESAN_2025_BJURHOLM/artfynd/Käringberget SO artfynd.xlsx", "Käringberget SO")</f>
        <v/>
      </c>
      <c r="W45">
        <f>HYPERLINK("https://klasma.github.io/Logging_FORSKNINGSRESAN_2025_BJURHOLM/kartor/Käringberget SO karta.png", "Käringberget SO")</f>
        <v/>
      </c>
      <c r="Y45">
        <f>HYPERLINK("https://klasma.github.io/Logging_FORSKNINGSRESAN_2025_BJURHOLM/klagomål/Käringberget SO FSC-klagomål.docx", "Käringberget SO")</f>
        <v/>
      </c>
      <c r="Z45">
        <f>HYPERLINK("https://klasma.github.io/Logging_FORSKNINGSRESAN_2025_BJURHOLM/klagomålsmail/Käringberget SO FSC-klagomål mail.docx", "Käringberget SO")</f>
        <v/>
      </c>
      <c r="AA45">
        <f>HYPERLINK("https://klasma.github.io/Logging_FORSKNINGSRESAN_2025_BJURHOLM/tillsyn/Käringberget SO tillsynsbegäran.docx", "Käringberget SO")</f>
        <v/>
      </c>
      <c r="AB45">
        <f>HYPERLINK("https://klasma.github.io/Logging_FORSKNINGSRESAN_2025_BJURHOLM/tillsynsmail/Käringberget SO tillsynsbegäran mail.docx", "Käringberget SO")</f>
        <v/>
      </c>
    </row>
    <row r="46" ht="15" customHeight="1">
      <c r="A46" t="inlineStr">
        <is>
          <t>Tosktjärnberget</t>
        </is>
      </c>
      <c r="B46" t="inlineStr">
        <is>
          <t>avverkningsanmälan</t>
        </is>
      </c>
      <c r="D46" s="1" t="n">
        <v>46221</v>
      </c>
      <c r="E46" s="1" t="n">
        <v>46221</v>
      </c>
      <c r="F46" t="inlineStr"/>
      <c r="G46" t="inlineStr">
        <is>
          <t>Bjurholm</t>
        </is>
      </c>
      <c r="H46" t="inlineStr">
        <is>
          <t>SCA</t>
        </is>
      </c>
      <c r="I46" t="n">
        <v>55</v>
      </c>
      <c r="J46" t="n">
        <v>0</v>
      </c>
      <c r="K46" t="n">
        <v>0</v>
      </c>
      <c r="L46" t="n">
        <v>5</v>
      </c>
      <c r="M46" t="n">
        <v>1</v>
      </c>
      <c r="N46" t="n">
        <v>0</v>
      </c>
      <c r="O46" t="n">
        <v>0</v>
      </c>
      <c r="P46" t="n">
        <v>0</v>
      </c>
      <c r="Q46" t="n">
        <v>6</v>
      </c>
      <c r="R46" t="n">
        <v>1</v>
      </c>
      <c r="S46" t="n">
        <v>6</v>
      </c>
      <c r="T46" t="n">
        <v>7</v>
      </c>
      <c r="U46" s="2" t="inlineStr">
        <is>
          <t>Garnlav
Doftskinn
Dropptaggsvamp
Dvärgbägarlav
Kolflarnlav
Vedskivlav</t>
        </is>
      </c>
      <c r="V46">
        <f>HYPERLINK("https://klasma.github.io/Logging_FORSKNINGSRESAN_2025_BJURHOLM/artfynd/Tosktjärnberget artfynd.xlsx", "Tosktjärnberget")</f>
        <v/>
      </c>
      <c r="W46">
        <f>HYPERLINK("https://klasma.github.io/Logging_FORSKNINGSRESAN_2025_BJURHOLM/kartor/Tosktjärnberget karta.png", "Tosktjärnberget")</f>
        <v/>
      </c>
      <c r="Y46">
        <f>HYPERLINK("https://klasma.github.io/Logging_FORSKNINGSRESAN_2025_BJURHOLM/klagomål/Tosktjärnberget FSC-klagomål.docx", "Tosktjärnberget")</f>
        <v/>
      </c>
      <c r="Z46">
        <f>HYPERLINK("https://klasma.github.io/Logging_FORSKNINGSRESAN_2025_BJURHOLM/klagomålsmail/Tosktjärnberget FSC-klagomål mail.docx", "Tosktjärnberget")</f>
        <v/>
      </c>
      <c r="AA46">
        <f>HYPERLINK("https://klasma.github.io/Logging_FORSKNINGSRESAN_2025_BJURHOLM/tillsyn/Tosktjärnberget tillsynsbegäran.docx", "Tosktjärnberget")</f>
        <v/>
      </c>
      <c r="AB46">
        <f>HYPERLINK("https://klasma.github.io/Logging_FORSKNINGSRESAN_2025_BJURHOLM/tillsynsmail/Tosktjärnberget tillsynsbegäran mail.docx", "Tosktjärnberget")</f>
        <v/>
      </c>
    </row>
    <row r="47" ht="15" customHeight="1">
      <c r="A47" t="inlineStr">
        <is>
          <t>Lill-Smaltjärnen</t>
        </is>
      </c>
      <c r="B47" t="inlineStr">
        <is>
          <t>avverkningsanmälan</t>
        </is>
      </c>
      <c r="D47" s="1" t="n">
        <v>46221</v>
      </c>
      <c r="E47" s="1" t="n">
        <v>46221</v>
      </c>
      <c r="F47" t="inlineStr"/>
      <c r="G47" t="inlineStr">
        <is>
          <t>Bjurholm</t>
        </is>
      </c>
      <c r="H47" t="inlineStr">
        <is>
          <t>Sveaskog</t>
        </is>
      </c>
      <c r="I47" t="n">
        <v>174.7</v>
      </c>
      <c r="J47" t="n">
        <v>0</v>
      </c>
      <c r="K47" t="n">
        <v>1</v>
      </c>
      <c r="L47" t="n">
        <v>2</v>
      </c>
      <c r="M47" t="n">
        <v>1</v>
      </c>
      <c r="N47" t="n">
        <v>0</v>
      </c>
      <c r="O47" t="n">
        <v>0</v>
      </c>
      <c r="P47" t="n">
        <v>0</v>
      </c>
      <c r="Q47" t="n">
        <v>3</v>
      </c>
      <c r="R47" t="n">
        <v>1</v>
      </c>
      <c r="S47" t="n">
        <v>4</v>
      </c>
      <c r="T47" t="n">
        <v>4</v>
      </c>
      <c r="U47" s="2" t="inlineStr">
        <is>
          <t>Garnlav
Lunglav
Motaggsvamp
Luddlav</t>
        </is>
      </c>
      <c r="V47">
        <f>HYPERLINK("https://klasma.github.io/Logging_FORSKNINGSRESAN_2025_BJURHOLM/artfynd/Lill-Smaltjärnen artfynd.xlsx", "Lill-Smaltjärnen")</f>
        <v/>
      </c>
      <c r="W47">
        <f>HYPERLINK("https://klasma.github.io/Logging_FORSKNINGSRESAN_2025_BJURHOLM/kartor/Lill-Smaltjärnen karta.png", "Lill-Smaltjärnen")</f>
        <v/>
      </c>
      <c r="Y47">
        <f>HYPERLINK("https://klasma.github.io/Logging_FORSKNINGSRESAN_2025_BJURHOLM/klagomål/Lill-Smaltjärnen FSC-klagomål.docx", "Lill-Smaltjärnen")</f>
        <v/>
      </c>
      <c r="Z47">
        <f>HYPERLINK("https://klasma.github.io/Logging_FORSKNINGSRESAN_2025_BJURHOLM/klagomålsmail/Lill-Smaltjärnen FSC-klagomål mail.docx", "Lill-Smaltjärnen")</f>
        <v/>
      </c>
      <c r="AA47">
        <f>HYPERLINK("https://klasma.github.io/Logging_FORSKNINGSRESAN_2025_BJURHOLM/tillsyn/Lill-Smaltjärnen tillsynsbegäran.docx", "Lill-Smaltjärnen")</f>
        <v/>
      </c>
      <c r="AB47">
        <f>HYPERLINK("https://klasma.github.io/Logging_FORSKNINGSRESAN_2025_BJURHOLM/tillsynsmail/Lill-Smaltjärnen tillsynsbegäran mail.docx", "Lill-Smaltjärnen")</f>
        <v/>
      </c>
    </row>
    <row r="48" ht="15" customHeight="1">
      <c r="A48" t="inlineStr">
        <is>
          <t>Alingsås</t>
        </is>
      </c>
      <c r="B48" t="inlineStr">
        <is>
          <t>avverkningsanmälan</t>
        </is>
      </c>
      <c r="D48" s="1" t="n">
        <v>46221</v>
      </c>
      <c r="E48" s="1" t="n">
        <v>46221</v>
      </c>
      <c r="F48" t="inlineStr"/>
      <c r="G48" t="inlineStr">
        <is>
          <t>Bjurholm</t>
        </is>
      </c>
      <c r="H48" t="inlineStr">
        <is>
          <t>Sveaskog</t>
        </is>
      </c>
      <c r="I48" t="n">
        <v>129.9</v>
      </c>
      <c r="J48" t="n">
        <v>0</v>
      </c>
      <c r="K48" t="n">
        <v>0</v>
      </c>
      <c r="L48" t="n">
        <v>2</v>
      </c>
      <c r="M48" t="n">
        <v>1</v>
      </c>
      <c r="N48" t="n">
        <v>0</v>
      </c>
      <c r="O48" t="n">
        <v>0</v>
      </c>
      <c r="P48" t="n">
        <v>0</v>
      </c>
      <c r="Q48" t="n">
        <v>3</v>
      </c>
      <c r="R48" t="n">
        <v>1</v>
      </c>
      <c r="S48" t="n">
        <v>3</v>
      </c>
      <c r="T48" t="n">
        <v>3</v>
      </c>
      <c r="U48" s="2" t="inlineStr">
        <is>
          <t>Liten sotlav
Doftskinn
Ullticka</t>
        </is>
      </c>
      <c r="V48">
        <f>HYPERLINK("https://klasma.github.io/Logging_FORSKNINGSRESAN_2025_BJURHOLM/artfynd/Alingsås artfynd.xlsx", "Alingsås")</f>
        <v/>
      </c>
      <c r="W48">
        <f>HYPERLINK("https://klasma.github.io/Logging_FORSKNINGSRESAN_2025_BJURHOLM/kartor/Alingsås karta.png", "Alingsås")</f>
        <v/>
      </c>
      <c r="Y48">
        <f>HYPERLINK("https://klasma.github.io/Logging_FORSKNINGSRESAN_2025_BJURHOLM/klagomål/Alingsås FSC-klagomål.docx", "Alingsås")</f>
        <v/>
      </c>
      <c r="Z48">
        <f>HYPERLINK("https://klasma.github.io/Logging_FORSKNINGSRESAN_2025_BJURHOLM/klagomålsmail/Alingsås FSC-klagomål mail.docx", "Alingsås")</f>
        <v/>
      </c>
      <c r="AA48">
        <f>HYPERLINK("https://klasma.github.io/Logging_FORSKNINGSRESAN_2025_BJURHOLM/tillsyn/Alingsås tillsynsbegäran.docx", "Alingsås")</f>
        <v/>
      </c>
      <c r="AB48">
        <f>HYPERLINK("https://klasma.github.io/Logging_FORSKNINGSRESAN_2025_BJURHOLM/tillsynsmail/Alingsås tillsynsbegäran mail.docx", "Alingsås")</f>
        <v/>
      </c>
    </row>
    <row r="49" ht="15" customHeight="1">
      <c r="A49" t="inlineStr">
        <is>
          <t>Norrnäs</t>
        </is>
      </c>
      <c r="B49" t="inlineStr">
        <is>
          <t>avverkningsanmälan</t>
        </is>
      </c>
      <c r="D49" s="1" t="n">
        <v>46221</v>
      </c>
      <c r="E49" s="1" t="n">
        <v>46221</v>
      </c>
      <c r="F49" t="inlineStr"/>
      <c r="G49" t="inlineStr">
        <is>
          <t>Bjurholm</t>
        </is>
      </c>
      <c r="H49" t="inlineStr">
        <is>
          <t>SCA</t>
        </is>
      </c>
      <c r="I49" t="n">
        <v>48.6</v>
      </c>
      <c r="J49" t="n">
        <v>0</v>
      </c>
      <c r="K49" t="n">
        <v>0</v>
      </c>
      <c r="L49" t="n">
        <v>3</v>
      </c>
      <c r="M49" t="n">
        <v>0</v>
      </c>
      <c r="N49" t="n">
        <v>0</v>
      </c>
      <c r="O49" t="n">
        <v>0</v>
      </c>
      <c r="P49" t="n">
        <v>0</v>
      </c>
      <c r="Q49" t="n">
        <v>3</v>
      </c>
      <c r="R49" t="n">
        <v>0</v>
      </c>
      <c r="S49" t="n">
        <v>3</v>
      </c>
      <c r="T49" t="n">
        <v>5</v>
      </c>
      <c r="U49" s="2" t="inlineStr">
        <is>
          <t>Gammelgransskål
Lunglav
Ullticka</t>
        </is>
      </c>
      <c r="V49">
        <f>HYPERLINK("https://klasma.github.io/Logging_FORSKNINGSRESAN_2025_BJURHOLM/artfynd/Norrnäs artfynd.xlsx", "Norrnäs")</f>
        <v/>
      </c>
      <c r="W49">
        <f>HYPERLINK("https://klasma.github.io/Logging_FORSKNINGSRESAN_2025_BJURHOLM/kartor/Norrnäs karta.png", "Norrnäs")</f>
        <v/>
      </c>
      <c r="Y49">
        <f>HYPERLINK("https://klasma.github.io/Logging_FORSKNINGSRESAN_2025_BJURHOLM/klagomål/Norrnäs FSC-klagomål.docx", "Norrnäs")</f>
        <v/>
      </c>
      <c r="Z49">
        <f>HYPERLINK("https://klasma.github.io/Logging_FORSKNINGSRESAN_2025_BJURHOLM/klagomålsmail/Norrnäs FSC-klagomål mail.docx", "Norrnäs")</f>
        <v/>
      </c>
      <c r="AA49">
        <f>HYPERLINK("https://klasma.github.io/Logging_FORSKNINGSRESAN_2025_BJURHOLM/tillsyn/Norrnäs tillsynsbegäran.docx", "Norrnäs")</f>
        <v/>
      </c>
      <c r="AB49">
        <f>HYPERLINK("https://klasma.github.io/Logging_FORSKNINGSRESAN_2025_BJURHOLM/tillsynsmail/Norrnäs tillsynsbegäran mail.docx", "Norrnäs")</f>
        <v/>
      </c>
    </row>
    <row r="50" ht="15" customHeight="1">
      <c r="A50" t="inlineStr">
        <is>
          <t>Vitstensberget V</t>
        </is>
      </c>
      <c r="B50" t="inlineStr">
        <is>
          <t>avverkningsanmälan</t>
        </is>
      </c>
      <c r="D50" s="1" t="n">
        <v>46221</v>
      </c>
      <c r="E50" s="1" t="n">
        <v>46221</v>
      </c>
      <c r="F50" t="inlineStr"/>
      <c r="G50" t="inlineStr">
        <is>
          <t>Bjurholm</t>
        </is>
      </c>
      <c r="H50" t="inlineStr">
        <is>
          <t>Holmen skog AB</t>
        </is>
      </c>
      <c r="I50" t="n">
        <v>112.2</v>
      </c>
      <c r="J50" t="n">
        <v>0</v>
      </c>
      <c r="K50" t="n">
        <v>0</v>
      </c>
      <c r="L50" t="n">
        <v>2</v>
      </c>
      <c r="M50" t="n">
        <v>0</v>
      </c>
      <c r="N50" t="n">
        <v>0</v>
      </c>
      <c r="O50" t="n">
        <v>0</v>
      </c>
      <c r="P50" t="n">
        <v>0</v>
      </c>
      <c r="Q50" t="n">
        <v>2</v>
      </c>
      <c r="R50" t="n">
        <v>0</v>
      </c>
      <c r="S50" t="n">
        <v>2</v>
      </c>
      <c r="T50" t="n">
        <v>2</v>
      </c>
      <c r="U50" s="2" t="inlineStr">
        <is>
          <t>Dvärgbägarlav
Violettgrå tagellav</t>
        </is>
      </c>
      <c r="V50">
        <f>HYPERLINK("https://klasma.github.io/Logging_FORSKNINGSRESAN_2025_BJURHOLM/artfynd/Vitstensberget V artfynd.xlsx", "Vitstensberget V")</f>
        <v/>
      </c>
      <c r="W50">
        <f>HYPERLINK("https://klasma.github.io/Logging_FORSKNINGSRESAN_2025_BJURHOLM/kartor/Vitstensberget V karta.png", "Vitstensberget V")</f>
        <v/>
      </c>
      <c r="Y50">
        <f>HYPERLINK("https://klasma.github.io/Logging_FORSKNINGSRESAN_2025_BJURHOLM/klagomål/Vitstensberget V FSC-klagomål.docx", "Vitstensberget V")</f>
        <v/>
      </c>
      <c r="Z50">
        <f>HYPERLINK("https://klasma.github.io/Logging_FORSKNINGSRESAN_2025_BJURHOLM/klagomålsmail/Vitstensberget V FSC-klagomål mail.docx", "Vitstensberget V")</f>
        <v/>
      </c>
      <c r="AA50">
        <f>HYPERLINK("https://klasma.github.io/Logging_FORSKNINGSRESAN_2025_BJURHOLM/tillsyn/Vitstensberget V tillsynsbegäran.docx", "Vitstensberget V")</f>
        <v/>
      </c>
      <c r="AB50">
        <f>HYPERLINK("https://klasma.github.io/Logging_FORSKNINGSRESAN_2025_BJURHOLM/tillsynsmail/Vitstensberget V tillsynsbegäran mail.docx", "Vitstensberget V")</f>
        <v/>
      </c>
    </row>
    <row r="51" ht="15" customHeight="1">
      <c r="A51" t="inlineStr">
        <is>
          <t>Lubbliden</t>
        </is>
      </c>
      <c r="B51" t="inlineStr">
        <is>
          <t>avverkningsanmälan</t>
        </is>
      </c>
      <c r="D51" s="1" t="n">
        <v>46221</v>
      </c>
      <c r="E51" s="1" t="n">
        <v>46221</v>
      </c>
      <c r="F51" t="inlineStr"/>
      <c r="G51" t="inlineStr">
        <is>
          <t>Bjurholm</t>
        </is>
      </c>
      <c r="H51" t="inlineStr">
        <is>
          <t>Sveaskog</t>
        </is>
      </c>
      <c r="I51" t="n">
        <v>299.4</v>
      </c>
      <c r="J51" t="n">
        <v>1</v>
      </c>
      <c r="K51" t="n">
        <v>0</v>
      </c>
      <c r="L51" t="n">
        <v>2</v>
      </c>
      <c r="M51" t="n">
        <v>0</v>
      </c>
      <c r="N51" t="n">
        <v>0</v>
      </c>
      <c r="O51" t="n">
        <v>0</v>
      </c>
      <c r="P51" t="n">
        <v>0</v>
      </c>
      <c r="Q51" t="n">
        <v>2</v>
      </c>
      <c r="R51" t="n">
        <v>0</v>
      </c>
      <c r="S51" t="n">
        <v>2</v>
      </c>
      <c r="T51" t="n">
        <v>8</v>
      </c>
      <c r="U51" s="2" t="inlineStr">
        <is>
          <t>Lunglav
Tretåig hackspett</t>
        </is>
      </c>
      <c r="V51">
        <f>HYPERLINK("https://klasma.github.io/Logging_FORSKNINGSRESAN_2025_BJURHOLM/artfynd/Lubbliden artfynd.xlsx", "Lubbliden")</f>
        <v/>
      </c>
      <c r="W51">
        <f>HYPERLINK("https://klasma.github.io/Logging_FORSKNINGSRESAN_2025_BJURHOLM/kartor/Lubbliden karta.png", "Lubbliden")</f>
        <v/>
      </c>
      <c r="Y51">
        <f>HYPERLINK("https://klasma.github.io/Logging_FORSKNINGSRESAN_2025_BJURHOLM/klagomål/Lubbliden FSC-klagomål.docx", "Lubbliden")</f>
        <v/>
      </c>
      <c r="Z51">
        <f>HYPERLINK("https://klasma.github.io/Logging_FORSKNINGSRESAN_2025_BJURHOLM/klagomålsmail/Lubbliden FSC-klagomål mail.docx", "Lubbliden")</f>
        <v/>
      </c>
      <c r="AA51">
        <f>HYPERLINK("https://klasma.github.io/Logging_FORSKNINGSRESAN_2025_BJURHOLM/tillsyn/Lubbliden tillsynsbegäran.docx", "Lubbliden")</f>
        <v/>
      </c>
      <c r="AB51">
        <f>HYPERLINK("https://klasma.github.io/Logging_FORSKNINGSRESAN_2025_BJURHOLM/tillsynsmail/Lubbliden tillsynsbegäran mail.docx", "Lubbliden")</f>
        <v/>
      </c>
      <c r="AC51">
        <f>HYPERLINK("https://klasma.github.io/Logging_FORSKNINGSRESAN_2025_BJURHOLM/fåglar/Lubbliden prioriterade fågelarter.docx", "Lubbliden")</f>
        <v/>
      </c>
    </row>
    <row r="52" ht="15" customHeight="1">
      <c r="A52" t="inlineStr">
        <is>
          <t>Lögdeälven</t>
        </is>
      </c>
      <c r="B52" t="inlineStr">
        <is>
          <t>avverkningsanmälan</t>
        </is>
      </c>
      <c r="D52" s="1" t="n">
        <v>46221</v>
      </c>
      <c r="E52" s="1" t="n">
        <v>46221</v>
      </c>
      <c r="F52" t="inlineStr"/>
      <c r="G52" t="inlineStr">
        <is>
          <t>Bjurholm</t>
        </is>
      </c>
      <c r="H52" t="inlineStr">
        <is>
          <t>Sveaskog</t>
        </is>
      </c>
      <c r="I52" t="n">
        <v>115.9</v>
      </c>
      <c r="J52" t="n">
        <v>0</v>
      </c>
      <c r="K52" t="n">
        <v>0</v>
      </c>
      <c r="L52" t="n">
        <v>2</v>
      </c>
      <c r="M52" t="n">
        <v>0</v>
      </c>
      <c r="N52" t="n">
        <v>0</v>
      </c>
      <c r="O52" t="n">
        <v>0</v>
      </c>
      <c r="P52" t="n">
        <v>0</v>
      </c>
      <c r="Q52" t="n">
        <v>2</v>
      </c>
      <c r="R52" t="n">
        <v>0</v>
      </c>
      <c r="S52" t="n">
        <v>2</v>
      </c>
      <c r="T52" t="n">
        <v>3</v>
      </c>
      <c r="U52" s="2" t="inlineStr">
        <is>
          <t>Lunglav
Reliktbock</t>
        </is>
      </c>
      <c r="V52">
        <f>HYPERLINK("https://klasma.github.io/Logging_FORSKNINGSRESAN_2025_BJURHOLM/artfynd/Lögdeälven artfynd.xlsx", "Lögdeälven")</f>
        <v/>
      </c>
      <c r="W52">
        <f>HYPERLINK("https://klasma.github.io/Logging_FORSKNINGSRESAN_2025_BJURHOLM/kartor/Lögdeälven karta.png", "Lögdeälven")</f>
        <v/>
      </c>
      <c r="Y52">
        <f>HYPERLINK("https://klasma.github.io/Logging_FORSKNINGSRESAN_2025_BJURHOLM/klagomål/Lögdeälven FSC-klagomål.docx", "Lögdeälven")</f>
        <v/>
      </c>
      <c r="Z52">
        <f>HYPERLINK("https://klasma.github.io/Logging_FORSKNINGSRESAN_2025_BJURHOLM/klagomålsmail/Lögdeälven FSC-klagomål mail.docx", "Lögdeälven")</f>
        <v/>
      </c>
      <c r="AA52">
        <f>HYPERLINK("https://klasma.github.io/Logging_FORSKNINGSRESAN_2025_BJURHOLM/tillsyn/Lögdeälven tillsynsbegäran.docx", "Lögdeälven")</f>
        <v/>
      </c>
      <c r="AB52">
        <f>HYPERLINK("https://klasma.github.io/Logging_FORSKNINGSRESAN_2025_BJURHOLM/tillsynsmail/Lögdeälven tillsynsbegäran mail.docx", "Lögdeälven")</f>
        <v/>
      </c>
    </row>
    <row r="53" ht="15" customHeight="1">
      <c r="A53" t="inlineStr">
        <is>
          <t>Lustigbacken</t>
        </is>
      </c>
      <c r="B53" t="inlineStr">
        <is>
          <t>avverkningsanmälan</t>
        </is>
      </c>
      <c r="D53" s="1" t="n">
        <v>46221</v>
      </c>
      <c r="E53" s="1" t="n">
        <v>46221</v>
      </c>
      <c r="F53" t="inlineStr"/>
      <c r="G53" t="inlineStr">
        <is>
          <t>Bjurholm</t>
        </is>
      </c>
      <c r="H53" t="inlineStr">
        <is>
          <t>Holmen skog AB</t>
        </is>
      </c>
      <c r="I53" t="n">
        <v>18.7</v>
      </c>
      <c r="J53" t="n">
        <v>1</v>
      </c>
      <c r="K53" t="n">
        <v>1</v>
      </c>
      <c r="L53" t="n">
        <v>0</v>
      </c>
      <c r="M53" t="n">
        <v>0</v>
      </c>
      <c r="N53" t="n">
        <v>1</v>
      </c>
      <c r="O53" t="n">
        <v>0</v>
      </c>
      <c r="P53" t="n">
        <v>0</v>
      </c>
      <c r="Q53" t="n">
        <v>1</v>
      </c>
      <c r="R53" t="n">
        <v>1</v>
      </c>
      <c r="S53" t="n">
        <v>2</v>
      </c>
      <c r="T53" t="n">
        <v>2</v>
      </c>
      <c r="U53" s="2" t="inlineStr">
        <is>
          <t>Bombmurkla
Svart trolldruva</t>
        </is>
      </c>
      <c r="V53">
        <f>HYPERLINK("https://klasma.github.io/Logging_FORSKNINGSRESAN_2025_BJURHOLM/artfynd/Lustigbacken artfynd.xlsx", "Lustigbacken")</f>
        <v/>
      </c>
      <c r="W53">
        <f>HYPERLINK("https://klasma.github.io/Logging_FORSKNINGSRESAN_2025_BJURHOLM/kartor/Lustigbacken karta.png", "Lustigbacken")</f>
        <v/>
      </c>
      <c r="Y53">
        <f>HYPERLINK("https://klasma.github.io/Logging_FORSKNINGSRESAN_2025_BJURHOLM/klagomål/Lustigbacken FSC-klagomål.docx", "Lustigbacken")</f>
        <v/>
      </c>
      <c r="Z53">
        <f>HYPERLINK("https://klasma.github.io/Logging_FORSKNINGSRESAN_2025_BJURHOLM/klagomålsmail/Lustigbacken FSC-klagomål mail.docx", "Lustigbacken")</f>
        <v/>
      </c>
      <c r="AA53">
        <f>HYPERLINK("https://klasma.github.io/Logging_FORSKNINGSRESAN_2025_BJURHOLM/tillsyn/Lustigbacken tillsynsbegäran.docx", "Lustigbacken")</f>
        <v/>
      </c>
      <c r="AB53">
        <f>HYPERLINK("https://klasma.github.io/Logging_FORSKNINGSRESAN_2025_BJURHOLM/tillsynsmail/Lustigbacken tillsynsbegäran mail.docx", "Lustigbacken")</f>
        <v/>
      </c>
    </row>
    <row r="54" ht="15" customHeight="1">
      <c r="A54" t="inlineStr">
        <is>
          <t>Tomasmyren SO</t>
        </is>
      </c>
      <c r="B54" t="inlineStr">
        <is>
          <t>avverkningsanmälan</t>
        </is>
      </c>
      <c r="D54" s="1" t="n">
        <v>46221</v>
      </c>
      <c r="E54" s="1" t="n">
        <v>46221</v>
      </c>
      <c r="F54" t="inlineStr"/>
      <c r="G54" t="inlineStr">
        <is>
          <t>Bjurholm</t>
        </is>
      </c>
      <c r="H54" t="inlineStr">
        <is>
          <t>SCA</t>
        </is>
      </c>
      <c r="I54" t="n">
        <v>68.3</v>
      </c>
      <c r="J54" t="n">
        <v>1</v>
      </c>
      <c r="K54" t="n">
        <v>0</v>
      </c>
      <c r="L54" t="n">
        <v>0</v>
      </c>
      <c r="M54" t="n">
        <v>0</v>
      </c>
      <c r="N54" t="n">
        <v>0</v>
      </c>
      <c r="O54" t="n">
        <v>0</v>
      </c>
      <c r="P54" t="n">
        <v>0</v>
      </c>
      <c r="Q54" t="n">
        <v>0</v>
      </c>
      <c r="R54" t="n">
        <v>0</v>
      </c>
      <c r="S54" t="n">
        <v>1</v>
      </c>
      <c r="T54" t="n">
        <v>1</v>
      </c>
      <c r="U54" s="2" t="inlineStr">
        <is>
          <t>Nattviol</t>
        </is>
      </c>
      <c r="V54">
        <f>HYPERLINK("https://klasma.github.io/Logging_FORSKNINGSRESAN_2025_BJURHOLM/artfynd/Tomasmyren SO artfynd.xlsx", "Tomasmyren SO")</f>
        <v/>
      </c>
      <c r="W54">
        <f>HYPERLINK("https://klasma.github.io/Logging_FORSKNINGSRESAN_2025_BJURHOLM/kartor/Tomasmyren SO karta.png", "Tomasmyren SO")</f>
        <v/>
      </c>
      <c r="Y54">
        <f>HYPERLINK("https://klasma.github.io/Logging_FORSKNINGSRESAN_2025_BJURHOLM/klagomål/Tomasmyren SO FSC-klagomål.docx", "Tomasmyren SO")</f>
        <v/>
      </c>
      <c r="Z54">
        <f>HYPERLINK("https://klasma.github.io/Logging_FORSKNINGSRESAN_2025_BJURHOLM/klagomålsmail/Tomasmyren SO FSC-klagomål mail.docx", "Tomasmyren SO")</f>
        <v/>
      </c>
      <c r="AA54">
        <f>HYPERLINK("https://klasma.github.io/Logging_FORSKNINGSRESAN_2025_BJURHOLM/tillsyn/Tomasmyren SO tillsynsbegäran.docx", "Tomasmyren SO")</f>
        <v/>
      </c>
      <c r="AB54">
        <f>HYPERLINK("https://klasma.github.io/Logging_FORSKNINGSRESAN_2025_BJURHOLM/tillsynsmail/Tomasmyren SO tillsynsbegäran mail.docx", "Tomasmyren SO")</f>
        <v/>
      </c>
    </row>
    <row r="55" ht="15" customHeight="1">
      <c r="A55" t="inlineStr">
        <is>
          <t>Lill-Lögdåberget V</t>
        </is>
      </c>
      <c r="B55" t="inlineStr">
        <is>
          <t>avverkningsanmälan</t>
        </is>
      </c>
      <c r="D55" s="1" t="n">
        <v>46221</v>
      </c>
      <c r="E55" s="1" t="n">
        <v>46221</v>
      </c>
      <c r="F55" t="inlineStr"/>
      <c r="G55" t="inlineStr">
        <is>
          <t>Bjurholm</t>
        </is>
      </c>
      <c r="H55" t="inlineStr">
        <is>
          <t>Holmen skog AB</t>
        </is>
      </c>
      <c r="I55" t="n">
        <v>18.1</v>
      </c>
      <c r="J55" t="n">
        <v>0</v>
      </c>
      <c r="K55" t="n">
        <v>0</v>
      </c>
      <c r="L55" t="n">
        <v>0</v>
      </c>
      <c r="M55" t="n">
        <v>1</v>
      </c>
      <c r="N55" t="n">
        <v>0</v>
      </c>
      <c r="O55" t="n">
        <v>0</v>
      </c>
      <c r="P55" t="n">
        <v>0</v>
      </c>
      <c r="Q55" t="n">
        <v>1</v>
      </c>
      <c r="R55" t="n">
        <v>1</v>
      </c>
      <c r="S55" t="n">
        <v>1</v>
      </c>
      <c r="T55" t="n">
        <v>1</v>
      </c>
      <c r="U55" s="2" t="inlineStr">
        <is>
          <t>Garnlav</t>
        </is>
      </c>
      <c r="V55">
        <f>HYPERLINK("https://klasma.github.io/Logging_FORSKNINGSRESAN_2025_BJURHOLM/artfynd/Lill-Lögdåberget V artfynd.xlsx", "Lill-Lögdåberget V")</f>
        <v/>
      </c>
      <c r="W55">
        <f>HYPERLINK("https://klasma.github.io/Logging_FORSKNINGSRESAN_2025_BJURHOLM/kartor/Lill-Lögdåberget V karta.png", "Lill-Lögdåberget V")</f>
        <v/>
      </c>
      <c r="Y55">
        <f>HYPERLINK("https://klasma.github.io/Logging_FORSKNINGSRESAN_2025_BJURHOLM/klagomål/Lill-Lögdåberget V FSC-klagomål.docx", "Lill-Lögdåberget V")</f>
        <v/>
      </c>
      <c r="Z55">
        <f>HYPERLINK("https://klasma.github.io/Logging_FORSKNINGSRESAN_2025_BJURHOLM/klagomålsmail/Lill-Lögdåberget V FSC-klagomål mail.docx", "Lill-Lögdåberget V")</f>
        <v/>
      </c>
      <c r="AA55">
        <f>HYPERLINK("https://klasma.github.io/Logging_FORSKNINGSRESAN_2025_BJURHOLM/tillsyn/Lill-Lögdåberget V tillsynsbegäran.docx", "Lill-Lögdåberget V")</f>
        <v/>
      </c>
      <c r="AB55">
        <f>HYPERLINK("https://klasma.github.io/Logging_FORSKNINGSRESAN_2025_BJURHOLM/tillsynsmail/Lill-Lögdåberget V tillsynsbegäran mail.docx", "Lill-Lögdåberget V")</f>
        <v/>
      </c>
    </row>
    <row r="56" ht="15" customHeight="1">
      <c r="A56" t="inlineStr">
        <is>
          <t>Nordmalingstjärnen</t>
        </is>
      </c>
      <c r="B56" t="inlineStr">
        <is>
          <t>avverkningsanmälan</t>
        </is>
      </c>
      <c r="D56" s="1" t="n">
        <v>46221</v>
      </c>
      <c r="E56" s="1" t="n">
        <v>46221</v>
      </c>
      <c r="F56" t="inlineStr"/>
      <c r="G56" t="inlineStr">
        <is>
          <t>Bjurholm</t>
        </is>
      </c>
      <c r="H56" t="inlineStr">
        <is>
          <t>Holmen skog AB</t>
        </is>
      </c>
      <c r="I56" t="n">
        <v>33.9</v>
      </c>
      <c r="J56" t="n">
        <v>0</v>
      </c>
      <c r="K56" t="n">
        <v>0</v>
      </c>
      <c r="L56" t="n">
        <v>0</v>
      </c>
      <c r="M56" t="n">
        <v>0</v>
      </c>
      <c r="N56" t="n">
        <v>0</v>
      </c>
      <c r="O56" t="n">
        <v>0</v>
      </c>
      <c r="P56" t="n">
        <v>0</v>
      </c>
      <c r="Q56" t="n">
        <v>0</v>
      </c>
      <c r="R56" t="n">
        <v>0</v>
      </c>
      <c r="S56" t="n">
        <v>0</v>
      </c>
      <c r="T56" t="n">
        <v>0</v>
      </c>
      <c r="U56" s="2" t="inlineStr"/>
    </row>
    <row r="57" ht="15" customHeight="1">
      <c r="A57" t="inlineStr">
        <is>
          <t>Svarttjärnen</t>
        </is>
      </c>
      <c r="B57" t="inlineStr">
        <is>
          <t>avverkningsanmälan</t>
        </is>
      </c>
      <c r="D57" s="1" t="n">
        <v>46221</v>
      </c>
      <c r="E57" s="1" t="n">
        <v>46221</v>
      </c>
      <c r="F57" t="inlineStr"/>
      <c r="G57" t="inlineStr">
        <is>
          <t>Bjurholm</t>
        </is>
      </c>
      <c r="H57" t="inlineStr">
        <is>
          <t>Holmen skog AB</t>
        </is>
      </c>
      <c r="I57" t="n">
        <v>76.5</v>
      </c>
      <c r="J57" t="n">
        <v>0</v>
      </c>
      <c r="K57" t="n">
        <v>0</v>
      </c>
      <c r="L57" t="n">
        <v>0</v>
      </c>
      <c r="M57" t="n">
        <v>0</v>
      </c>
      <c r="N57" t="n">
        <v>0</v>
      </c>
      <c r="O57" t="n">
        <v>0</v>
      </c>
      <c r="P57" t="n">
        <v>0</v>
      </c>
      <c r="Q57" t="n">
        <v>0</v>
      </c>
      <c r="R57" t="n">
        <v>0</v>
      </c>
      <c r="S57" t="n">
        <v>0</v>
      </c>
      <c r="T57" t="n">
        <v>0</v>
      </c>
      <c r="U57" s="2" t="inlineStr"/>
    </row>
    <row r="58" ht="15" customHeight="1">
      <c r="A58" t="inlineStr">
        <is>
          <t>Lubbliden 2</t>
        </is>
      </c>
      <c r="B58" t="inlineStr">
        <is>
          <t>avverkningsanmälan</t>
        </is>
      </c>
      <c r="D58" s="1" t="n">
        <v>46221</v>
      </c>
      <c r="E58" s="1" t="n">
        <v>46221</v>
      </c>
      <c r="F58" t="inlineStr"/>
      <c r="G58" t="inlineStr">
        <is>
          <t>Bjurholm</t>
        </is>
      </c>
      <c r="H58" t="inlineStr">
        <is>
          <t>Sveaskog</t>
        </is>
      </c>
      <c r="I58" t="n">
        <v>96.8</v>
      </c>
      <c r="J58" t="n">
        <v>0</v>
      </c>
      <c r="K58" t="n">
        <v>0</v>
      </c>
      <c r="L58" t="n">
        <v>0</v>
      </c>
      <c r="M58" t="n">
        <v>0</v>
      </c>
      <c r="N58" t="n">
        <v>0</v>
      </c>
      <c r="O58" t="n">
        <v>0</v>
      </c>
      <c r="P58" t="n">
        <v>0</v>
      </c>
      <c r="Q58" t="n">
        <v>0</v>
      </c>
      <c r="R58" t="n">
        <v>0</v>
      </c>
      <c r="S58" t="n">
        <v>0</v>
      </c>
      <c r="T58" t="n">
        <v>0</v>
      </c>
      <c r="U58" s="2" t="inlineStr"/>
    </row>
    <row r="59" ht="15" customHeight="1">
      <c r="A59" t="inlineStr">
        <is>
          <t>Hötjärnberget NORR</t>
        </is>
      </c>
      <c r="B59" t="inlineStr">
        <is>
          <t>avverkningsanmälan</t>
        </is>
      </c>
      <c r="D59" s="1" t="n">
        <v>46221</v>
      </c>
      <c r="E59" s="1" t="n">
        <v>46221</v>
      </c>
      <c r="F59" t="inlineStr"/>
      <c r="G59" t="inlineStr">
        <is>
          <t>Bjurholm</t>
        </is>
      </c>
      <c r="H59" t="inlineStr">
        <is>
          <t>SCA</t>
        </is>
      </c>
      <c r="I59" t="n">
        <v>26.8</v>
      </c>
      <c r="J59" t="n">
        <v>0</v>
      </c>
      <c r="K59" t="n">
        <v>0</v>
      </c>
      <c r="L59" t="n">
        <v>0</v>
      </c>
      <c r="M59" t="n">
        <v>0</v>
      </c>
      <c r="N59" t="n">
        <v>0</v>
      </c>
      <c r="O59" t="n">
        <v>0</v>
      </c>
      <c r="P59" t="n">
        <v>0</v>
      </c>
      <c r="Q59" t="n">
        <v>0</v>
      </c>
      <c r="R59" t="n">
        <v>0</v>
      </c>
      <c r="S59" t="n">
        <v>0</v>
      </c>
      <c r="T59" t="n">
        <v>0</v>
      </c>
      <c r="U59" s="2" t="inlineStr"/>
    </row>
    <row r="60" ht="15" customHeight="1">
      <c r="A60" t="inlineStr">
        <is>
          <t>Mjösjöberget V</t>
        </is>
      </c>
      <c r="B60" t="inlineStr">
        <is>
          <t>avverkningsanmälan</t>
        </is>
      </c>
      <c r="D60" s="1" t="n">
        <v>46221</v>
      </c>
      <c r="E60" s="1" t="n">
        <v>46221</v>
      </c>
      <c r="F60" t="inlineStr"/>
      <c r="G60" t="inlineStr">
        <is>
          <t>Bjurholm</t>
        </is>
      </c>
      <c r="H60" t="inlineStr">
        <is>
          <t>SCA</t>
        </is>
      </c>
      <c r="I60" t="n">
        <v>29.8</v>
      </c>
      <c r="J60" t="n">
        <v>0</v>
      </c>
      <c r="K60" t="n">
        <v>0</v>
      </c>
      <c r="L60" t="n">
        <v>0</v>
      </c>
      <c r="M60" t="n">
        <v>0</v>
      </c>
      <c r="N60" t="n">
        <v>0</v>
      </c>
      <c r="O60" t="n">
        <v>0</v>
      </c>
      <c r="P60" t="n">
        <v>0</v>
      </c>
      <c r="Q60" t="n">
        <v>0</v>
      </c>
      <c r="R60" t="n">
        <v>0</v>
      </c>
      <c r="S60" t="n">
        <v>0</v>
      </c>
      <c r="T60" t="n">
        <v>0</v>
      </c>
      <c r="U60" s="2" t="inlineStr"/>
    </row>
    <row r="61" ht="15" customHeight="1">
      <c r="A61" t="inlineStr">
        <is>
          <t>Tomasmyren V</t>
        </is>
      </c>
      <c r="B61" t="inlineStr">
        <is>
          <t>avverkningsanmälan</t>
        </is>
      </c>
      <c r="D61" s="1" t="n">
        <v>46221</v>
      </c>
      <c r="E61" s="1" t="n">
        <v>46221</v>
      </c>
      <c r="F61" t="inlineStr"/>
      <c r="G61" t="inlineStr">
        <is>
          <t>Bjurholm</t>
        </is>
      </c>
      <c r="H61" t="inlineStr">
        <is>
          <t>SCA</t>
        </is>
      </c>
      <c r="I61" t="n">
        <v>20.4</v>
      </c>
      <c r="J61" t="n">
        <v>0</v>
      </c>
      <c r="K61" t="n">
        <v>0</v>
      </c>
      <c r="L61" t="n">
        <v>0</v>
      </c>
      <c r="M61" t="n">
        <v>0</v>
      </c>
      <c r="N61" t="n">
        <v>0</v>
      </c>
      <c r="O61" t="n">
        <v>0</v>
      </c>
      <c r="P61" t="n">
        <v>0</v>
      </c>
      <c r="Q61" t="n">
        <v>0</v>
      </c>
      <c r="R61" t="n">
        <v>0</v>
      </c>
      <c r="S61" t="n">
        <v>0</v>
      </c>
      <c r="T61" t="n">
        <v>0</v>
      </c>
      <c r="U61" s="2" t="inlineStr"/>
    </row>
    <row r="62" ht="15" customHeight="1">
      <c r="A62" t="inlineStr">
        <is>
          <t>Stor-Bergvattnet</t>
        </is>
      </c>
      <c r="B62" t="inlineStr">
        <is>
          <t>avverkningsanmälan</t>
        </is>
      </c>
      <c r="D62" s="1" t="n">
        <v>46221</v>
      </c>
      <c r="E62" s="1" t="n">
        <v>46221</v>
      </c>
      <c r="F62" t="inlineStr"/>
      <c r="G62" t="inlineStr">
        <is>
          <t>Bjurholm</t>
        </is>
      </c>
      <c r="H62" t="inlineStr">
        <is>
          <t>Holmen skog AB</t>
        </is>
      </c>
      <c r="I62" t="n">
        <v>20.8</v>
      </c>
      <c r="J62" t="n">
        <v>0</v>
      </c>
      <c r="K62" t="n">
        <v>0</v>
      </c>
      <c r="L62" t="n">
        <v>0</v>
      </c>
      <c r="M62" t="n">
        <v>0</v>
      </c>
      <c r="N62" t="n">
        <v>0</v>
      </c>
      <c r="O62" t="n">
        <v>0</v>
      </c>
      <c r="P62" t="n">
        <v>0</v>
      </c>
      <c r="Q62" t="n">
        <v>0</v>
      </c>
      <c r="R62" t="n">
        <v>0</v>
      </c>
      <c r="S62" t="n">
        <v>0</v>
      </c>
      <c r="T62" t="n">
        <v>0</v>
      </c>
      <c r="U62" s="2" t="inlineStr"/>
    </row>
    <row r="63" ht="15" customHeight="1">
      <c r="A63" t="inlineStr">
        <is>
          <t>Halvförensbäcken</t>
        </is>
      </c>
      <c r="B63" t="inlineStr">
        <is>
          <t>avverkningsanmälan</t>
        </is>
      </c>
      <c r="D63" s="1" t="n">
        <v>46221</v>
      </c>
      <c r="E63" s="1" t="n">
        <v>46221</v>
      </c>
      <c r="F63" t="inlineStr"/>
      <c r="G63" t="inlineStr">
        <is>
          <t>Bjurholm</t>
        </is>
      </c>
      <c r="H63" t="inlineStr">
        <is>
          <t>Holmen skog AB</t>
        </is>
      </c>
      <c r="I63" t="n">
        <v>42</v>
      </c>
      <c r="J63" t="n">
        <v>0</v>
      </c>
      <c r="K63" t="n">
        <v>0</v>
      </c>
      <c r="L63" t="n">
        <v>0</v>
      </c>
      <c r="M63" t="n">
        <v>0</v>
      </c>
      <c r="N63" t="n">
        <v>0</v>
      </c>
      <c r="O63" t="n">
        <v>0</v>
      </c>
      <c r="P63" t="n">
        <v>0</v>
      </c>
      <c r="Q63" t="n">
        <v>0</v>
      </c>
      <c r="R63" t="n">
        <v>0</v>
      </c>
      <c r="S63" t="n">
        <v>0</v>
      </c>
      <c r="T63" t="n">
        <v>0</v>
      </c>
      <c r="U63" s="2" t="inlineStr"/>
    </row>
    <row r="64" ht="15" customHeight="1">
      <c r="A64" t="inlineStr">
        <is>
          <t>Åviksskatan</t>
        </is>
      </c>
      <c r="B64" t="inlineStr">
        <is>
          <t>avverkningsanmälan</t>
        </is>
      </c>
      <c r="D64" s="1" t="n">
        <v>46221</v>
      </c>
      <c r="E64" s="1" t="n">
        <v>46221</v>
      </c>
      <c r="F64" t="inlineStr"/>
      <c r="G64" t="inlineStr">
        <is>
          <t>Bjurholm</t>
        </is>
      </c>
      <c r="H64" t="inlineStr">
        <is>
          <t>Holmen skog AB</t>
        </is>
      </c>
      <c r="I64" t="n">
        <v>13.4</v>
      </c>
      <c r="J64" t="n">
        <v>0</v>
      </c>
      <c r="K64" t="n">
        <v>0</v>
      </c>
      <c r="L64" t="n">
        <v>0</v>
      </c>
      <c r="M64" t="n">
        <v>0</v>
      </c>
      <c r="N64" t="n">
        <v>0</v>
      </c>
      <c r="O64" t="n">
        <v>0</v>
      </c>
      <c r="P64" t="n">
        <v>0</v>
      </c>
      <c r="Q64" t="n">
        <v>0</v>
      </c>
      <c r="R64" t="n">
        <v>0</v>
      </c>
      <c r="S64" t="n">
        <v>0</v>
      </c>
      <c r="T64" t="n">
        <v>0</v>
      </c>
      <c r="U64" s="2" t="inlineStr"/>
    </row>
    <row r="65">
      <c r="A65" t="inlineStr">
        <is>
          <t>Dalsmyrbäcken</t>
        </is>
      </c>
      <c r="B65" t="inlineStr">
        <is>
          <t>avverkningsanmälan</t>
        </is>
      </c>
      <c r="D65" s="1" t="n">
        <v>46221</v>
      </c>
      <c r="E65" s="1" t="n">
        <v>46221</v>
      </c>
      <c r="F65" t="inlineStr"/>
      <c r="G65" t="inlineStr">
        <is>
          <t>Bjurholm</t>
        </is>
      </c>
      <c r="H65" t="inlineStr">
        <is>
          <t>Holmen skog AB</t>
        </is>
      </c>
      <c r="I65" t="n">
        <v>14.7</v>
      </c>
      <c r="J65" t="n">
        <v>0</v>
      </c>
      <c r="K65" t="n">
        <v>0</v>
      </c>
      <c r="L65" t="n">
        <v>0</v>
      </c>
      <c r="M65" t="n">
        <v>0</v>
      </c>
      <c r="N65" t="n">
        <v>0</v>
      </c>
      <c r="O65" t="n">
        <v>0</v>
      </c>
      <c r="P65" t="n">
        <v>0</v>
      </c>
      <c r="Q65" t="n">
        <v>0</v>
      </c>
      <c r="R65" t="n">
        <v>0</v>
      </c>
      <c r="S65" t="n">
        <v>0</v>
      </c>
      <c r="T65" t="n">
        <v>0</v>
      </c>
      <c r="U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2026-07-18T09:43:08Z</dcterms:created>
  <dcterms:modified xmlns:dcterms="http://purl.org/dc/terms/" xmlns:xsi="http://www.w3.org/2001/XMLSchema-instance" xsi:type="dcterms:W3CDTF">2026-07-18T09:43:08Z</dcterms:modified>
</cp:coreProperties>
</file>